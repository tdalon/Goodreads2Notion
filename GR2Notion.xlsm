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workbookPr/>
  <mc:AlternateContent xmlns:mc="http://schemas.openxmlformats.org/markup-compatibility/2006">
    <mc:Choice Requires="x15">
      <x15ac:absPath xmlns:x15ac="http://schemas.microsoft.com/office/spreadsheetml/2010/11/ac" url="https://etelligent1-my.sharepoint.com/personal/thierry_dalon_etelligent_ai/Documents/GitHub/Goodreads2Notion/"/>
    </mc:Choice>
  </mc:AlternateContent>
  <xr:revisionPtr revIDLastSave="589" documentId="8_{BCE45416-DD83-4586-9B58-2143DC028AE0}" xr6:coauthVersionLast="47" xr6:coauthVersionMax="47" xr10:uidLastSave="{CAF266C2-915A-42BE-8975-EB7702E39B20}"/>
  <bookViews>
    <workbookView xWindow="-120" yWindow="-120" windowWidth="29040" windowHeight="15990" activeTab="1" xr2:uid="{00000000-000D-0000-FFFF-FFFF00000000}"/>
  </bookViews>
  <sheets>
    <sheet name="goodreads_library_export" sheetId="3" r:id="rId1"/>
    <sheet name="Purchases" sheetId="2" r:id="rId2"/>
    <sheet name="Tabelle1" sheetId="1" r:id="rId3"/>
  </sheets>
  <definedNames>
    <definedName name="ExternalData_1" localSheetId="0" hidden="1">goodreads_library_export!$A$1:$X$528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57" i="2" l="1"/>
  <c r="J57" i="2"/>
  <c r="K57" i="2"/>
  <c r="I56" i="2"/>
  <c r="J56" i="2"/>
  <c r="K56" i="2"/>
  <c r="I55" i="2"/>
  <c r="J55" i="2"/>
  <c r="K55" i="2"/>
  <c r="I54" i="2"/>
  <c r="J54" i="2"/>
  <c r="K54" i="2"/>
  <c r="I53" i="2"/>
  <c r="J53" i="2"/>
  <c r="K53" i="2"/>
  <c r="I51" i="2"/>
  <c r="J51" i="2"/>
  <c r="K51" i="2"/>
  <c r="I52" i="2"/>
  <c r="J52" i="2"/>
  <c r="K52" i="2"/>
  <c r="I50" i="2"/>
  <c r="J50" i="2"/>
  <c r="K50" i="2"/>
  <c r="I49" i="2"/>
  <c r="J49" i="2"/>
  <c r="K49" i="2"/>
  <c r="K14" i="2"/>
  <c r="K33" i="2"/>
  <c r="K41" i="2"/>
  <c r="K40" i="2"/>
  <c r="K25" i="2"/>
  <c r="K5" i="2"/>
  <c r="K32" i="2"/>
  <c r="K44" i="2"/>
  <c r="K10" i="2"/>
  <c r="K22" i="2"/>
  <c r="K18" i="2"/>
  <c r="K7" i="2"/>
  <c r="K43" i="2"/>
  <c r="K45" i="2"/>
  <c r="K19" i="2"/>
  <c r="K42" i="2"/>
  <c r="K8" i="2"/>
  <c r="K37" i="2"/>
  <c r="K16" i="2"/>
  <c r="K46" i="2"/>
  <c r="K11" i="2"/>
  <c r="K38" i="2"/>
  <c r="K23" i="2"/>
  <c r="K27" i="2"/>
  <c r="K4" i="2"/>
  <c r="K20" i="2"/>
  <c r="K30" i="2"/>
  <c r="K13" i="2"/>
  <c r="K12" i="2"/>
  <c r="K28" i="2"/>
  <c r="K26" i="2"/>
  <c r="K36" i="2"/>
  <c r="K47" i="2"/>
  <c r="K6" i="2"/>
  <c r="K17" i="2"/>
  <c r="K24" i="2"/>
  <c r="K29" i="2"/>
  <c r="K39" i="2"/>
  <c r="K21" i="2"/>
  <c r="K15" i="2"/>
  <c r="K48" i="2"/>
  <c r="K34" i="2"/>
  <c r="K31" i="2"/>
  <c r="K3" i="2"/>
  <c r="K2" i="2"/>
  <c r="K9" i="2"/>
  <c r="K35" i="2"/>
  <c r="J14" i="2"/>
  <c r="J33" i="2"/>
  <c r="J41" i="2"/>
  <c r="J40" i="2"/>
  <c r="J25" i="2"/>
  <c r="J5" i="2"/>
  <c r="J32" i="2"/>
  <c r="J44" i="2"/>
  <c r="J10" i="2"/>
  <c r="J22" i="2"/>
  <c r="J18" i="2"/>
  <c r="J7" i="2"/>
  <c r="J43" i="2"/>
  <c r="J45" i="2"/>
  <c r="J19" i="2"/>
  <c r="J42" i="2"/>
  <c r="J8" i="2"/>
  <c r="J37" i="2"/>
  <c r="J16" i="2"/>
  <c r="J46" i="2"/>
  <c r="J11" i="2"/>
  <c r="J38" i="2"/>
  <c r="J23" i="2"/>
  <c r="J27" i="2"/>
  <c r="J4" i="2"/>
  <c r="J20" i="2"/>
  <c r="J30" i="2"/>
  <c r="J13" i="2"/>
  <c r="J12" i="2"/>
  <c r="J28" i="2"/>
  <c r="J26" i="2"/>
  <c r="J36" i="2"/>
  <c r="J47" i="2"/>
  <c r="J6" i="2"/>
  <c r="J17" i="2"/>
  <c r="J24" i="2"/>
  <c r="J29" i="2"/>
  <c r="J39" i="2"/>
  <c r="J21" i="2"/>
  <c r="J15" i="2"/>
  <c r="J48" i="2"/>
  <c r="J34" i="2"/>
  <c r="J31" i="2"/>
  <c r="J3" i="2"/>
  <c r="J2" i="2"/>
  <c r="J9" i="2"/>
  <c r="J35" i="2"/>
  <c r="I14" i="2"/>
  <c r="I33" i="2"/>
  <c r="I41" i="2"/>
  <c r="I40" i="2"/>
  <c r="I25" i="2"/>
  <c r="I5" i="2"/>
  <c r="I32" i="2"/>
  <c r="I44" i="2"/>
  <c r="I10" i="2"/>
  <c r="I22" i="2"/>
  <c r="I18" i="2"/>
  <c r="I7" i="2"/>
  <c r="I43" i="2"/>
  <c r="I45" i="2"/>
  <c r="I19" i="2"/>
  <c r="I42" i="2"/>
  <c r="I8" i="2"/>
  <c r="I37" i="2"/>
  <c r="I16" i="2"/>
  <c r="I46" i="2"/>
  <c r="I11" i="2"/>
  <c r="I38" i="2"/>
  <c r="I23" i="2"/>
  <c r="I27" i="2"/>
  <c r="I4" i="2"/>
  <c r="I20" i="2"/>
  <c r="I30" i="2"/>
  <c r="I13" i="2"/>
  <c r="I12" i="2"/>
  <c r="I28" i="2"/>
  <c r="I26" i="2"/>
  <c r="I36" i="2"/>
  <c r="I47" i="2"/>
  <c r="I6" i="2"/>
  <c r="I17" i="2"/>
  <c r="I24" i="2"/>
  <c r="I29" i="2"/>
  <c r="I39" i="2"/>
  <c r="I21" i="2"/>
  <c r="I15" i="2"/>
  <c r="I48" i="2"/>
  <c r="I34" i="2"/>
  <c r="I31" i="2"/>
  <c r="I3" i="2"/>
  <c r="I2" i="2"/>
  <c r="I9" i="2"/>
  <c r="I35"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BAC4FD4-8304-46B1-BC21-79F1C3037F69}" keepAlive="1" name="Query - goodreads_library_export" description="Connection to the 'goodreads_library_export' query in the workbook." type="5" refreshedVersion="8" background="1" saveData="1">
    <dbPr connection="Provider=Microsoft.Mashup.OleDb.1;Data Source=$Workbook$;Location=goodreads_library_export;Extended Properties=&quot;&quot;" command="SELECT * FROM [goodreads_library_export]"/>
  </connection>
</connections>
</file>

<file path=xl/sharedStrings.xml><?xml version="1.0" encoding="utf-8"?>
<sst xmlns="http://schemas.openxmlformats.org/spreadsheetml/2006/main" count="7589" uniqueCount="3024">
  <si>
    <t>Title</t>
  </si>
  <si>
    <t>Purchase Date</t>
  </si>
  <si>
    <t>Price</t>
  </si>
  <si>
    <t>Purchased at</t>
  </si>
  <si>
    <t>The Joy of Movement: How exercise helps us find happiness, hope, connection, and courage</t>
  </si>
  <si>
    <t>Amazon.de</t>
  </si>
  <si>
    <t>Amazon.com</t>
  </si>
  <si>
    <t>No Time Like the Present: Finding Freedom, Love, and Joy Right Where You Are</t>
  </si>
  <si>
    <t>Author</t>
  </si>
  <si>
    <t>Jack Kornfield</t>
  </si>
  <si>
    <t>The Art of Happiness: A Handbook for Living</t>
  </si>
  <si>
    <t>Dalai Lama</t>
  </si>
  <si>
    <t>Phil Stutz, Barry Michels</t>
  </si>
  <si>
    <t>Authors</t>
  </si>
  <si>
    <t>The Anger Toolkit</t>
  </si>
  <si>
    <t>New Harbinger Publications</t>
  </si>
  <si>
    <t>Price(USD)</t>
  </si>
  <si>
    <t>Byron Katie</t>
  </si>
  <si>
    <t xml:space="preserve">Bittersweet </t>
  </si>
  <si>
    <t xml:space="preserve">Infinite Jest </t>
  </si>
  <si>
    <t xml:space="preserve">Das Buch, von dem du dir wünschst, deine Eltern hätten es gelesen </t>
  </si>
  <si>
    <t>Susan Cain</t>
  </si>
  <si>
    <t>Loving what is</t>
  </si>
  <si>
    <t>A man for all markets</t>
  </si>
  <si>
    <t>Peak Mind</t>
  </si>
  <si>
    <t>Eric Barker</t>
  </si>
  <si>
    <t>Leonardo da Vinci</t>
  </si>
  <si>
    <t xml:space="preserve">Focus </t>
  </si>
  <si>
    <t>Fundamentals</t>
  </si>
  <si>
    <t>Stick with it</t>
  </si>
  <si>
    <t>Neil Gaimann</t>
  </si>
  <si>
    <t>The Graveyard Book</t>
  </si>
  <si>
    <t>Rushdie</t>
  </si>
  <si>
    <t xml:space="preserve">Midnights Children </t>
  </si>
  <si>
    <t>Plays well with others</t>
  </si>
  <si>
    <t>Frank Wilczek</t>
  </si>
  <si>
    <t>Daniel Goleman</t>
  </si>
  <si>
    <t>The Surrender Experiment: My Journey into Life's Perfection</t>
  </si>
  <si>
    <t>What's in It for Them?: 9 Genius Networking Principles to Get What You Want by Helping Others Get What They Want</t>
  </si>
  <si>
    <t>Joe Polish</t>
  </si>
  <si>
    <t>Michael A. Singer</t>
  </si>
  <si>
    <t>Leadership from the Inside Out: Becoming a Leader for Life</t>
  </si>
  <si>
    <t>Kevin Cashman</t>
  </si>
  <si>
    <t>The Practice: Shipping Creative Work</t>
  </si>
  <si>
    <t>Seth Godin</t>
  </si>
  <si>
    <t>Brief Answers to the Big Questions: the final book from Stephen Hawking</t>
  </si>
  <si>
    <t>Stephen Hawking</t>
  </si>
  <si>
    <t>The DBT Anger Management Workbook: A Complete Dialectical Behavior Therapy Action Plan For Mastering Your Emotions &amp; Finding Your Inner Zen | Practical ... Men &amp; Women (Mental Health Therapy Book 4)</t>
  </si>
  <si>
    <t>Barrett Huang</t>
  </si>
  <si>
    <t>Homo Deus: A Brief History of Tomorrow</t>
  </si>
  <si>
    <t>Yuval Noah Harari</t>
  </si>
  <si>
    <t>Why the Germans Do it Better: Notes from a Grown-Up Country</t>
  </si>
  <si>
    <t>John Kampfner</t>
  </si>
  <si>
    <t>Difficult Conversations: How to Discuss What Matters Most</t>
  </si>
  <si>
    <t>Douglas Stone</t>
  </si>
  <si>
    <t>Happier Hour: How to Beat Distraction, Expand Your Time, and Focus on What Matters Most</t>
  </si>
  <si>
    <t>Cassie Holmes</t>
  </si>
  <si>
    <t>A Mind at Home with Itself: How Asking Four Questions Can Free Your Mind, Open Your Heart, and Turn Your World Around</t>
  </si>
  <si>
    <t>The Tools: 5 Tools to Help You Find Courage, Creativity, and Willpower--and Inspire You to Live Life in Forward Motion</t>
  </si>
  <si>
    <t>On Love: A Novel</t>
  </si>
  <si>
    <t>Alain de Botton</t>
  </si>
  <si>
    <t>The Compound Effect (10th Anniversary Edition): Jumpstart Your Income, Your Life, Your Success</t>
  </si>
  <si>
    <t>Darren Hardy</t>
  </si>
  <si>
    <t>Work Rules!: Insights from Inside Google That Will Transform How You Live and Lead</t>
  </si>
  <si>
    <t>Laszlo Bock</t>
  </si>
  <si>
    <t>Agile Project Management with Scrum: Secret Scrum Formulas and Methods in Agile Project Management. (Agile Scrum)</t>
  </si>
  <si>
    <t>Alex Campbell</t>
  </si>
  <si>
    <t>How to Thrive in the Virtual Workplace: Simple and Effective Tips for Successful, Productive, and Empowered Remote Work</t>
  </si>
  <si>
    <t>Robert Glazer</t>
  </si>
  <si>
    <t>No Mud, No Lotus</t>
  </si>
  <si>
    <t xml:space="preserve"> Thich Nhat Hanh</t>
  </si>
  <si>
    <t>Sketch Thinking: Sketch ( for design) Thinking</t>
  </si>
  <si>
    <t>Jose Berengueres</t>
  </si>
  <si>
    <t>The Journey Within: Exploring the Path of Bhakti</t>
  </si>
  <si>
    <t>Lives of the Stoics: The Art of Living from Zeno to Marcus Aurelius</t>
  </si>
  <si>
    <t>High Performance Habits: How Extraordinary People Become That Way</t>
  </si>
  <si>
    <t>Zen in the Art of Archery</t>
  </si>
  <si>
    <t>Eugen Herrigel</t>
  </si>
  <si>
    <t>The Art of Living: The Classical Mannual on Virtue, Happiness, and Effectiveness</t>
  </si>
  <si>
    <t>Epictectus</t>
  </si>
  <si>
    <t>The Art of Stillness: Adventures in Going Nowhere (TED Books)</t>
  </si>
  <si>
    <t>Pico Iyer</t>
  </si>
  <si>
    <t>The Advice Trap: Be Humble, Stay Curious &amp; Change the Way You Lead Forever</t>
  </si>
  <si>
    <t>MBS</t>
  </si>
  <si>
    <t>4 3 2 1: A Novel</t>
  </si>
  <si>
    <t>Paul Auster</t>
  </si>
  <si>
    <t>21 Lessons for the 21st Century</t>
  </si>
  <si>
    <t>Daring Greatly: How the Courage to Be Vulnerable Transforms the Way We Live, Love, Parent, and Lead</t>
  </si>
  <si>
    <t>The Power of Regret: How Looking Backward Moves Us Forward</t>
  </si>
  <si>
    <t>Daniel Pink</t>
  </si>
  <si>
    <t>Kelly McGonigal</t>
  </si>
  <si>
    <t>Export Goodreads Library</t>
  </si>
  <si>
    <t>https://www.goodreads.com/review/import</t>
  </si>
  <si>
    <t>Export Date</t>
  </si>
  <si>
    <t>Book Id</t>
  </si>
  <si>
    <t>Author l-f</t>
  </si>
  <si>
    <t>Additional Authors</t>
  </si>
  <si>
    <t>ISBN</t>
  </si>
  <si>
    <t>ISBN13</t>
  </si>
  <si>
    <t>My Rating</t>
  </si>
  <si>
    <t>Average Rating</t>
  </si>
  <si>
    <t>Publisher</t>
  </si>
  <si>
    <t>Binding</t>
  </si>
  <si>
    <t>Number of Pages</t>
  </si>
  <si>
    <t>Year Published</t>
  </si>
  <si>
    <t>Original Publication Year</t>
  </si>
  <si>
    <t>Date Read</t>
  </si>
  <si>
    <t>Date Added</t>
  </si>
  <si>
    <t>Bookshelves</t>
  </si>
  <si>
    <t>Bookshelves with positions</t>
  </si>
  <si>
    <t>Exclusive Shelf</t>
  </si>
  <si>
    <t>My Review</t>
  </si>
  <si>
    <t>Spoiler</t>
  </si>
  <si>
    <t>Private Notes</t>
  </si>
  <si>
    <t>Read Count</t>
  </si>
  <si>
    <t>Owned Copies</t>
  </si>
  <si>
    <t>Think and Grow Rich</t>
  </si>
  <si>
    <t>Napoleon Hill</t>
  </si>
  <si>
    <t>Hill, Napoleon</t>
  </si>
  <si>
    <t/>
  </si>
  <si>
    <t>=""</t>
  </si>
  <si>
    <t>Start Publishing LLC</t>
  </si>
  <si>
    <t>Kindle Edition</t>
  </si>
  <si>
    <t>self-help, business</t>
  </si>
  <si>
    <t>self-help (#17), business (#5)</t>
  </si>
  <si>
    <t>read</t>
  </si>
  <si>
    <t>Interesting reading. Didn't fully understand it specially words like "Infinite Inteligence", proof of telepathy, etc. Part about transmutation of sex energy was interesting though I didn't get really how.&lt;br/&gt;I was also a bit annoyed that the beginning of the book is only about making money and not reaching happiness. Direction was corrected slightly at the end. I am not convinced at the end that DESIRING something really will bring it to you. It sounds like a kind of magic to me.</t>
  </si>
  <si>
    <t>Anything You Want</t>
  </si>
  <si>
    <t>Derek Sivers</t>
  </si>
  <si>
    <t>Sivers, Derek</t>
  </si>
  <si>
    <t>to-read, business, wishlist</t>
  </si>
  <si>
    <t>to-read (#23), business (#10), wishlist (#2)</t>
  </si>
  <si>
    <t>to-read</t>
  </si>
  <si>
    <t>Zen Mind, Beginner's Mind: Informal Talks on Zen Meditation and Practice</t>
  </si>
  <si>
    <t>Shunryu Suzuki</t>
  </si>
  <si>
    <t>Suzuki, Shunryu</t>
  </si>
  <si>
    <t>Trudy Dixon, Huston Smith, Richard Baker</t>
  </si>
  <si>
    <t>="0834800799"</t>
  </si>
  <si>
    <t>="9780834800793"</t>
  </si>
  <si>
    <t>Weatherhill</t>
  </si>
  <si>
    <t>Paperback</t>
  </si>
  <si>
    <t>Scrum mit User Stories</t>
  </si>
  <si>
    <t>Ralf Wirdemann</t>
  </si>
  <si>
    <t>Wirdemann, Ralf</t>
  </si>
  <si>
    <t>="3446450521"</t>
  </si>
  <si>
    <t>="9783446450523"</t>
  </si>
  <si>
    <t>Carl Hanser Verlag GmbH &amp; Co. KG</t>
  </si>
  <si>
    <t>Hardcover</t>
  </si>
  <si>
    <t>agile</t>
  </si>
  <si>
    <t>agile (#11)</t>
  </si>
  <si>
    <t>L'Antéchrist suivi d'Ecce Homo</t>
  </si>
  <si>
    <t>Friedrich Nietzsche</t>
  </si>
  <si>
    <t>Nietzsche, Friedrich</t>
  </si>
  <si>
    <t>Mazzino Montinari, Giorgio Colli, Jean-Claude Hémery</t>
  </si>
  <si>
    <t>="2070325571"</t>
  </si>
  <si>
    <t>="9782070325573"</t>
  </si>
  <si>
    <t>Gallimard</t>
  </si>
  <si>
    <t>Mass Market Paperback</t>
  </si>
  <si>
    <t>philosophy, essai</t>
  </si>
  <si>
    <t>philosophy (#1), essai (#4)</t>
  </si>
  <si>
    <t>Singer, Michael A.</t>
  </si>
  <si>
    <t>="080414110X"</t>
  </si>
  <si>
    <t>="9780804141109"</t>
  </si>
  <si>
    <t>Harmony</t>
  </si>
  <si>
    <t>to-read, next, happiness</t>
  </si>
  <si>
    <t>to-read (#112), next (#1), happiness (#11)</t>
  </si>
  <si>
    <t>Holmes, Cassie</t>
  </si>
  <si>
    <t>="1982148802"</t>
  </si>
  <si>
    <t>="9781982148805"</t>
  </si>
  <si>
    <t>Gallery Books</t>
  </si>
  <si>
    <t>to-read (#248)</t>
  </si>
  <si>
    <t>A Force for Good: The Dalai Lama's Vision for Our World</t>
  </si>
  <si>
    <t>Goleman, Daniel</t>
  </si>
  <si>
    <t>Dalai Lama XIV</t>
  </si>
  <si>
    <t>="0553394894"</t>
  </si>
  <si>
    <t>="9780553394894"</t>
  </si>
  <si>
    <t>Bantam</t>
  </si>
  <si>
    <t>happiness, self-help</t>
  </si>
  <si>
    <t>happiness (#3), self-help (#31)</t>
  </si>
  <si>
    <t>Breath: The New Science of a Lost Art</t>
  </si>
  <si>
    <t>James Nestor</t>
  </si>
  <si>
    <t>Nestor, James</t>
  </si>
  <si>
    <t>="0735213615"</t>
  </si>
  <si>
    <t>="9780735213616"</t>
  </si>
  <si>
    <t>Riverhead Books</t>
  </si>
  <si>
    <t>science, happiness</t>
  </si>
  <si>
    <t>science (#9), happiness (#10)</t>
  </si>
  <si>
    <t>Great read. Very researched, informative and easy to read.</t>
  </si>
  <si>
    <t>Stolen Focus: Why You Can't Pay Attention- and How to Think Deeply Again</t>
  </si>
  <si>
    <t>Johann Hari</t>
  </si>
  <si>
    <t>Hari, Johann</t>
  </si>
  <si>
    <t>="0593138511"</t>
  </si>
  <si>
    <t>="9780593138519"</t>
  </si>
  <si>
    <t>Crown Publishing Group (NY)</t>
  </si>
  <si>
    <t>to-read, wishlist</t>
  </si>
  <si>
    <t>to-read (#246), wishlist (#1)</t>
  </si>
  <si>
    <t>Silence: The Power of Quiet in a World Full of Noise</t>
  </si>
  <si>
    <t>Thich Nhat Hanh</t>
  </si>
  <si>
    <t>Hanh, Thich Nhat</t>
  </si>
  <si>
    <t>="0062224697"</t>
  </si>
  <si>
    <t>="9780062224699"</t>
  </si>
  <si>
    <t>HarperOne</t>
  </si>
  <si>
    <t>meditation, mindfulness</t>
  </si>
  <si>
    <t>meditation (#3), mindfulness (#26)</t>
  </si>
  <si>
    <t>Atlas of the Heart: Mapping Meaningful Connection and the Language of Human Experience</t>
  </si>
  <si>
    <t>Brené Brown</t>
  </si>
  <si>
    <t>Brown, Brené</t>
  </si>
  <si>
    <t>Gavin Aung Than</t>
  </si>
  <si>
    <t>="0399592555"</t>
  </si>
  <si>
    <t>="9780399592553"</t>
  </si>
  <si>
    <t>Random House</t>
  </si>
  <si>
    <t>to-read (#247)</t>
  </si>
  <si>
    <t>Kornfield, Jack</t>
  </si>
  <si>
    <t>Atria Books</t>
  </si>
  <si>
    <t>to-read, mindfulness</t>
  </si>
  <si>
    <t>to-read (#245), mindfulness (#25)</t>
  </si>
  <si>
    <t>Mindset: The New Psychology Of Success</t>
  </si>
  <si>
    <t>Carol S. Dweck</t>
  </si>
  <si>
    <t>Dweck, Carol S.</t>
  </si>
  <si>
    <t>to-read (#173)</t>
  </si>
  <si>
    <t>Bittersweet: How Sorrow and Longing Make Us Whole</t>
  </si>
  <si>
    <t>Cain, Susan</t>
  </si>
  <si>
    <t>to-read (#242)</t>
  </si>
  <si>
    <t>The Joy of Movement: How Exercise Helps Us Find Happiness, Hope, Connection, and Courage</t>
  </si>
  <si>
    <t>McGonigal, Kelly</t>
  </si>
  <si>
    <t>Avery</t>
  </si>
  <si>
    <t>to-read, happiness</t>
  </si>
  <si>
    <t>to-read (#244), happiness (#9)</t>
  </si>
  <si>
    <t>Bliss More: How to Succeed in Meditation Without Really Trying</t>
  </si>
  <si>
    <t>Light Watkins</t>
  </si>
  <si>
    <t>Watkins, Light</t>
  </si>
  <si>
    <t>Ballantine Books</t>
  </si>
  <si>
    <t>meditation (#1), mindfulness (#20)</t>
  </si>
  <si>
    <t>The Biggest Bluff: How I Learned to Pay Attention, Master Myself, and Win</t>
  </si>
  <si>
    <t>Maria Konnikova</t>
  </si>
  <si>
    <t>Konnikova, Maria</t>
  </si>
  <si>
    <t>="052552262X"</t>
  </si>
  <si>
    <t>="9780525522621"</t>
  </si>
  <si>
    <t>Penguin Press</t>
  </si>
  <si>
    <t>Neil Gaiman</t>
  </si>
  <si>
    <t>Gaiman, Neil</t>
  </si>
  <si>
    <t>HarperCollins</t>
  </si>
  <si>
    <t>Four Thousand Weeks: Time Management for Mortals</t>
  </si>
  <si>
    <t>Oliver Burkeman</t>
  </si>
  <si>
    <t>Burkeman, Oliver</t>
  </si>
  <si>
    <t>Farrar, Straus and Giroux</t>
  </si>
  <si>
    <t>Eat That Frog!: 21 Great Ways to Stop Procrastinating and Get More Done in Less Time</t>
  </si>
  <si>
    <t>Brian Tracy</t>
  </si>
  <si>
    <t>Tracy, Brian</t>
  </si>
  <si>
    <t>Berrett-Koehler Publishers</t>
  </si>
  <si>
    <t>productivity</t>
  </si>
  <si>
    <t>productivity (#3)</t>
  </si>
  <si>
    <t>A bit repetitive.</t>
  </si>
  <si>
    <t>Critical Systems Thinking and the Management of Complexity</t>
  </si>
  <si>
    <t>Michael C. Jackson</t>
  </si>
  <si>
    <t>Jackson, Michael C.</t>
  </si>
  <si>
    <t>="1119118379"</t>
  </si>
  <si>
    <t>="9781119118374"</t>
  </si>
  <si>
    <t>Wiley</t>
  </si>
  <si>
    <t>to-read (#243)</t>
  </si>
  <si>
    <t>Man's Search for Meaning</t>
  </si>
  <si>
    <t>Viktor E. Frankl</t>
  </si>
  <si>
    <t>Frankl, Viktor E.</t>
  </si>
  <si>
    <t>Ilse Lasch</t>
  </si>
  <si>
    <t>Beacon Press</t>
  </si>
  <si>
    <t>currently-reading</t>
  </si>
  <si>
    <t>currently-reading (#20)</t>
  </si>
  <si>
    <t>Das Buch, von dem du dir wünschst, deine Eltern hätten es gelesen (und deine Kinder werden froh sein, wenn du es gelesen hast)</t>
  </si>
  <si>
    <t>Philippa Perry</t>
  </si>
  <si>
    <t>Perry, Philippa</t>
  </si>
  <si>
    <t>Karin Schuler</t>
  </si>
  <si>
    <t>="9783843722568"</t>
  </si>
  <si>
    <t>Ullstein</t>
  </si>
  <si>
    <t>ebook</t>
  </si>
  <si>
    <t>currently-reading, parenting</t>
  </si>
  <si>
    <t>currently-reading (#19), parenting (#4)</t>
  </si>
  <si>
    <t>Die Blechtrommel</t>
  </si>
  <si>
    <t>Günter Grass</t>
  </si>
  <si>
    <t>Grass, Günter</t>
  </si>
  <si>
    <t>="3423118210"</t>
  </si>
  <si>
    <t>="9783423118217"</t>
  </si>
  <si>
    <t>Deutscher Taschenbuch Verlag</t>
  </si>
  <si>
    <t>fiction, novel</t>
  </si>
  <si>
    <t>fiction (#8), novel (#23)</t>
  </si>
  <si>
    <t>A Widow for One Year</t>
  </si>
  <si>
    <t>John Irving</t>
  </si>
  <si>
    <t>Irving, John</t>
  </si>
  <si>
    <t>novel, fiction</t>
  </si>
  <si>
    <t>novel (#22), fiction (#7)</t>
  </si>
  <si>
    <t>The World According to Garp</t>
  </si>
  <si>
    <t>="0345915593"</t>
  </si>
  <si>
    <t>="9780345915597"</t>
  </si>
  <si>
    <t>novel (#21), fiction (#6)</t>
  </si>
  <si>
    <t>Polish, Joe</t>
  </si>
  <si>
    <t>to-read (#241)</t>
  </si>
  <si>
    <t>This Is Water: Some Thoughts, Delivered on a Significant Occasion, about Living a Compassionate Life</t>
  </si>
  <si>
    <t>David Foster Wallace</t>
  </si>
  <si>
    <t>Wallace, David Foster</t>
  </si>
  <si>
    <t>="0316068225"</t>
  </si>
  <si>
    <t>="9780316068222"</t>
  </si>
  <si>
    <t>Little, Brown and Company</t>
  </si>
  <si>
    <t>Startup, Scaleup, Screwup: 42 Tools to Accelerate Lean and Agile Business Growth</t>
  </si>
  <si>
    <t>Jurgen Appelo</t>
  </si>
  <si>
    <t>Appelo, Jurgen</t>
  </si>
  <si>
    <t>="111952685X"</t>
  </si>
  <si>
    <t>="9781119526858"</t>
  </si>
  <si>
    <t>currently-reading (#18)</t>
  </si>
  <si>
    <t>Brief Answers to the Big Questions</t>
  </si>
  <si>
    <t>Hawking, Stephen</t>
  </si>
  <si>
    <t>="1984819194"</t>
  </si>
  <si>
    <t>="9781984819192"</t>
  </si>
  <si>
    <t>Cashman, Kevin</t>
  </si>
  <si>
    <t>="1576755991"</t>
  </si>
  <si>
    <t>="9781576755990"</t>
  </si>
  <si>
    <t>to-read (#240)</t>
  </si>
  <si>
    <t>Homo Deus: A History of Tomorrow</t>
  </si>
  <si>
    <t>Harari, Yuval Noah</t>
  </si>
  <si>
    <t>Harper</t>
  </si>
  <si>
    <t>currently-reading (#17)</t>
  </si>
  <si>
    <t>Words That Hurt, Words That Heal, Revised Edition: How the Words You Choose Shape Your Destiny</t>
  </si>
  <si>
    <t>Joseph Telushkin</t>
  </si>
  <si>
    <t>Telushkin, Joseph</t>
  </si>
  <si>
    <t>William Morrow Paperbacks</t>
  </si>
  <si>
    <t>to-read (#199)</t>
  </si>
  <si>
    <t>Le Chef-d'oeuvre inconnu : et autres nouvelles</t>
  </si>
  <si>
    <t>Honoré de Balzac</t>
  </si>
  <si>
    <t>Balzac, Honoré de</t>
  </si>
  <si>
    <t>Adrien Goetz</t>
  </si>
  <si>
    <t>="2070308758"</t>
  </si>
  <si>
    <t>="9782070308750"</t>
  </si>
  <si>
    <t>Nudge: Improving Decisions About Health, Wealth, and Happiness</t>
  </si>
  <si>
    <t>Richard H. Thaler</t>
  </si>
  <si>
    <t>Thaler, Richard H.</t>
  </si>
  <si>
    <t>Cass R. Sunstein</t>
  </si>
  <si>
    <t>="014311526X"</t>
  </si>
  <si>
    <t>="9780143115267"</t>
  </si>
  <si>
    <t>Penguin Books</t>
  </si>
  <si>
    <t>to-read (#239)</t>
  </si>
  <si>
    <t>Kampfner, John</t>
  </si>
  <si>
    <t>="1786499754"</t>
  </si>
  <si>
    <t>="9781786499752"</t>
  </si>
  <si>
    <t>Atlantic Books</t>
  </si>
  <si>
    <t>to-read (#238)</t>
  </si>
  <si>
    <t>Plays Well With Others: The Surprising Science Behind Why Everything You Know About Relationships Is (Mostly) Wrong</t>
  </si>
  <si>
    <t>Barker, Eric</t>
  </si>
  <si>
    <t>="0063050943"</t>
  </si>
  <si>
    <t>="9780063050945"</t>
  </si>
  <si>
    <t>HarperCollins US</t>
  </si>
  <si>
    <t>Nice read</t>
  </si>
  <si>
    <t>Vie de Tolstoï (L'édition intégrale): Une biographie critique et un hommage à l'auteur qui Rolland a aimé et estimé</t>
  </si>
  <si>
    <t>Romain Rolland</t>
  </si>
  <si>
    <t>Rolland, Romain</t>
  </si>
  <si>
    <t>e-artnow</t>
  </si>
  <si>
    <t>to-read (#237)</t>
  </si>
  <si>
    <t>Romain Rolland: Oeuvres Majeures (L'édition intégrale): Jean-Christophe + Au-dessus de la mêlée + Vie de Tolstoï + Vie de Beethoven + Colas Breugnon + ... + L'Âme enchanté...</t>
  </si>
  <si>
    <t>to-read (#236)</t>
  </si>
  <si>
    <t>Vie de Beethoven</t>
  </si>
  <si>
    <t>to-read (#235)</t>
  </si>
  <si>
    <t>Hardwiring Happiness: The New Brain Science of Contentment, Calm, and Confidence</t>
  </si>
  <si>
    <t>Rick Hanson</t>
  </si>
  <si>
    <t>Hanson, Rick</t>
  </si>
  <si>
    <t>="0385347316"</t>
  </si>
  <si>
    <t>="9780385347310"</t>
  </si>
  <si>
    <t>currently-reading (#16)</t>
  </si>
  <si>
    <t>Peak Mind: Find Your Focus, Own Your Attention, Invest 12 Minutes a Day</t>
  </si>
  <si>
    <t>Amishi P. Jha</t>
  </si>
  <si>
    <t>Jha, Amishi P.</t>
  </si>
  <si>
    <t>="0062992163"</t>
  </si>
  <si>
    <t>="9780062992161"</t>
  </si>
  <si>
    <t>to-read (#234)</t>
  </si>
  <si>
    <t>Alles gut - Das kleine Überlebensbuch: Soforthilfe bei Belastung, Trauma &amp; Co.</t>
  </si>
  <si>
    <t>Claudia Croos-Müller</t>
  </si>
  <si>
    <t>Croos-Müller, Claudia</t>
  </si>
  <si>
    <t>Kai Pannen</t>
  </si>
  <si>
    <t>Kösel-Verlag</t>
  </si>
  <si>
    <t>It Doesn't Have to Be Crazy at Work</t>
  </si>
  <si>
    <t>Jason Fried</t>
  </si>
  <si>
    <t>Fried, Jason</t>
  </si>
  <si>
    <t>David Heinemeier Hansson</t>
  </si>
  <si>
    <t>="0062874780"</t>
  </si>
  <si>
    <t>="9780062874788"</t>
  </si>
  <si>
    <t>Harper Business</t>
  </si>
  <si>
    <t>Great quick read.</t>
  </si>
  <si>
    <t>A World Without Email: Reimagining Work in an Age of Communication Overload</t>
  </si>
  <si>
    <t>Cal Newport</t>
  </si>
  <si>
    <t>Newport, Cal</t>
  </si>
  <si>
    <t>="0525536558"</t>
  </si>
  <si>
    <t>="9780525536550"</t>
  </si>
  <si>
    <t>Portfolio</t>
  </si>
  <si>
    <t>Interesting in some parts but lacking depth most of it</t>
  </si>
  <si>
    <t>Solve for Happy: Engineer Your Path to Joy</t>
  </si>
  <si>
    <t>Mo Gawdat</t>
  </si>
  <si>
    <t>Gawdat, Mo</t>
  </si>
  <si>
    <t>="1501157558"</t>
  </si>
  <si>
    <t>="9781501157554"</t>
  </si>
  <si>
    <t>4.5 Great book especially for an engineer</t>
  </si>
  <si>
    <t>Stick with It: The Science of Lasting Changes</t>
  </si>
  <si>
    <t>Sean   Young</t>
  </si>
  <si>
    <t>Young, Sean</t>
  </si>
  <si>
    <t>="0062692895"</t>
  </si>
  <si>
    <t>="9780062692894"</t>
  </si>
  <si>
    <t>to-read (#233)</t>
  </si>
  <si>
    <t>Fundamentals: Ten Keys to Reality</t>
  </si>
  <si>
    <t>Wilczek, Frank</t>
  </si>
  <si>
    <t>="0735223793"</t>
  </si>
  <si>
    <t>="9780735223790"</t>
  </si>
  <si>
    <t>to-read (#232)</t>
  </si>
  <si>
    <t>Captivate: The Science of Succeeding with People</t>
  </si>
  <si>
    <t>Vanessa Van Edwards</t>
  </si>
  <si>
    <t>Edwards, Vanessa Van</t>
  </si>
  <si>
    <t>="0399564489"</t>
  </si>
  <si>
    <t>="9780399564482"</t>
  </si>
  <si>
    <t>Build: An Unorthodox Guide to Making Things Worth Making</t>
  </si>
  <si>
    <t>Tony Fadell</t>
  </si>
  <si>
    <t>Fadell, Tony</t>
  </si>
  <si>
    <t>="1787634116"</t>
  </si>
  <si>
    <t>="9781787634114"</t>
  </si>
  <si>
    <t>Bantam Press</t>
  </si>
  <si>
    <t>to-read (#231)</t>
  </si>
  <si>
    <t>Year of Wonder: Classical Music for Every Day</t>
  </si>
  <si>
    <t>Clemency Burton-Hill</t>
  </si>
  <si>
    <t>Burton-Hill, Clemency</t>
  </si>
  <si>
    <t>="1472251822"</t>
  </si>
  <si>
    <t>="9781472251824"</t>
  </si>
  <si>
    <t>Headline Home</t>
  </si>
  <si>
    <t>currently-reading (#13)</t>
  </si>
  <si>
    <t>Anger Management for Everyone: Ten Proven Strategies to Help You Control Anger and Live a Happier Life</t>
  </si>
  <si>
    <t>Raymond Chip Tafrate</t>
  </si>
  <si>
    <t>Tafrate, Raymond Chip</t>
  </si>
  <si>
    <t>Howard Kassinove, Matthew McKay</t>
  </si>
  <si>
    <t>Impact</t>
  </si>
  <si>
    <t>High Output Management</t>
  </si>
  <si>
    <t>Andrew S. Grove</t>
  </si>
  <si>
    <t>Grove, Andrew S.</t>
  </si>
  <si>
    <t>="0679762884"</t>
  </si>
  <si>
    <t>="9780679762881"</t>
  </si>
  <si>
    <t>Vintage</t>
  </si>
  <si>
    <t>to-read (#230)</t>
  </si>
  <si>
    <t>Lovingkindness: The Revolutionary Art of Happiness</t>
  </si>
  <si>
    <t>Sharon Salzberg</t>
  </si>
  <si>
    <t>Salzberg, Sharon</t>
  </si>
  <si>
    <t>Jon Kabat-Zinn</t>
  </si>
  <si>
    <t>="1590301870"</t>
  </si>
  <si>
    <t>="9781590301876"</t>
  </si>
  <si>
    <t>Shambhala</t>
  </si>
  <si>
    <t>to-read (#229)</t>
  </si>
  <si>
    <t>Remote Work Revolution: Succeeding from Anywhere</t>
  </si>
  <si>
    <t>Tsedal Neeley</t>
  </si>
  <si>
    <t>Neeley, Tsedal</t>
  </si>
  <si>
    <t>="006306832X"</t>
  </si>
  <si>
    <t>="9780063068322"</t>
  </si>
  <si>
    <t>to-read (#228)</t>
  </si>
  <si>
    <t>Leading from Anywhere: Unlock the Power and Performance of Remote Teams</t>
  </si>
  <si>
    <t>David Burkus</t>
  </si>
  <si>
    <t>Burkus, David</t>
  </si>
  <si>
    <t>="0358533279"</t>
  </si>
  <si>
    <t>="9780358533276"</t>
  </si>
  <si>
    <t>Houghton Mifflin Harcourt</t>
  </si>
  <si>
    <t>to-read (#227)</t>
  </si>
  <si>
    <t>The Fourth Hand</t>
  </si>
  <si>
    <t>="0345463153"</t>
  </si>
  <si>
    <t>="9780345463159"</t>
  </si>
  <si>
    <t>Fawcett Books</t>
  </si>
  <si>
    <t>Great read. 4.5</t>
  </si>
  <si>
    <t>Die 5 Sprachen der Liebe</t>
  </si>
  <si>
    <t>Gary Chapman</t>
  </si>
  <si>
    <t>Chapman, Gary</t>
  </si>
  <si>
    <t>francke</t>
  </si>
  <si>
    <t>Great read!</t>
  </si>
  <si>
    <t>Arsène Lupin contre Herlock Sholmès</t>
  </si>
  <si>
    <t>Maurice Leblanc</t>
  </si>
  <si>
    <t>Leblanc, Maurice</t>
  </si>
  <si>
    <t>="2253004693"</t>
  </si>
  <si>
    <t>="9782253004691"</t>
  </si>
  <si>
    <t>Le Livre de Poche</t>
  </si>
  <si>
    <t>Storyworthy: Engage, Teach, Persuade, and Change Your Life through the Power of Storytelling</t>
  </si>
  <si>
    <t>Matthew Dicks</t>
  </si>
  <si>
    <t>Dicks, Matthew</t>
  </si>
  <si>
    <t>Dan Kennedy</t>
  </si>
  <si>
    <t>="1608685489"</t>
  </si>
  <si>
    <t>="9781608685486"</t>
  </si>
  <si>
    <t>New World Library</t>
  </si>
  <si>
    <t>to-read (#226)</t>
  </si>
  <si>
    <t>The Space Within: Finding Your Way Back Home</t>
  </si>
  <si>
    <t>Michael Neill</t>
  </si>
  <si>
    <t>Neill, Michael</t>
  </si>
  <si>
    <t>="1401950566"</t>
  </si>
  <si>
    <t>="9781401950569"</t>
  </si>
  <si>
    <t>Hay House UK</t>
  </si>
  <si>
    <t>to-read (#225)</t>
  </si>
  <si>
    <t>Steve Jobs</t>
  </si>
  <si>
    <t>Walter Isaacson</t>
  </si>
  <si>
    <t>Isaacson, Walter</t>
  </si>
  <si>
    <t>="1451648537"</t>
  </si>
  <si>
    <t>="9781451648539"</t>
  </si>
  <si>
    <t>Simon &amp; Schuster</t>
  </si>
  <si>
    <t>to-read (#224)</t>
  </si>
  <si>
    <t>Influence: The Psychology of Persuasion</t>
  </si>
  <si>
    <t>Robert B. Cialdini</t>
  </si>
  <si>
    <t>Cialdini, Robert B.</t>
  </si>
  <si>
    <t>="006124189X"</t>
  </si>
  <si>
    <t>="9780061241895"</t>
  </si>
  <si>
    <t>Great interesting read!</t>
  </si>
  <si>
    <t>Making Sense: Conversations on Consciousness, Morality and the Future of Humanity</t>
  </si>
  <si>
    <t>Sam Harris</t>
  </si>
  <si>
    <t>Harris, Sam</t>
  </si>
  <si>
    <t>="0552178853"</t>
  </si>
  <si>
    <t>="9780552178853"</t>
  </si>
  <si>
    <t>Corgi</t>
  </si>
  <si>
    <t>to-read (#202)</t>
  </si>
  <si>
    <t>Born a Crime: Stories From a South African Childhood</t>
  </si>
  <si>
    <t>Trevor Noah</t>
  </si>
  <si>
    <t>Noah, Trevor</t>
  </si>
  <si>
    <t>Doubleday Canada</t>
  </si>
  <si>
    <t>Radical Candor: Be a Kickass Boss Without Losing Your Humanity</t>
  </si>
  <si>
    <t>Kim Malone Scott</t>
  </si>
  <si>
    <t>Scott, Kim Malone</t>
  </si>
  <si>
    <t>="1250103509"</t>
  </si>
  <si>
    <t>="9781250103505"</t>
  </si>
  <si>
    <t>St. Martin's Press</t>
  </si>
  <si>
    <t>Endure: Mind, Body, and the Curiously Elastic Limits of Human Performance</t>
  </si>
  <si>
    <t>Alex  Hutchinson</t>
  </si>
  <si>
    <t>Hutchinson, Alex</t>
  </si>
  <si>
    <t>Custom House</t>
  </si>
  <si>
    <t>A Supposedly Fun Thing I'll Never Do Again:  Essays and Arguments</t>
  </si>
  <si>
    <t>="0316925284"</t>
  </si>
  <si>
    <t>="9780316925280"</t>
  </si>
  <si>
    <t>Back Bay Books</t>
  </si>
  <si>
    <t>to-read (#223)</t>
  </si>
  <si>
    <t>Infinite Jest</t>
  </si>
  <si>
    <t>to-read (#222)</t>
  </si>
  <si>
    <t>The God Particle: If the Universe Is the Answer, What Is the Question?</t>
  </si>
  <si>
    <t>Leon M. Lederman</t>
  </si>
  <si>
    <t>Lederman, Leon M.</t>
  </si>
  <si>
    <t>Dick Teresi</t>
  </si>
  <si>
    <t>="0385312113"</t>
  </si>
  <si>
    <t>="9780385312110"</t>
  </si>
  <si>
    <t>Delta</t>
  </si>
  <si>
    <t>to-read (#221)</t>
  </si>
  <si>
    <t>Working Backwards: Insights, Stories, and Secrets from Inside Amazon</t>
  </si>
  <si>
    <t>Colin Bryar</t>
  </si>
  <si>
    <t>Bryar, Colin</t>
  </si>
  <si>
    <t>Bill  Carr</t>
  </si>
  <si>
    <t>="1250267595"</t>
  </si>
  <si>
    <t>="9781250267597"</t>
  </si>
  <si>
    <t>to-read (#220)</t>
  </si>
  <si>
    <t>Bringing Home the Dharma: Awakening Right Where You Are</t>
  </si>
  <si>
    <t>Daniel J. Siegel</t>
  </si>
  <si>
    <t>="1590309138"</t>
  </si>
  <si>
    <t>="9781590309131"</t>
  </si>
  <si>
    <t>to-read (#219)</t>
  </si>
  <si>
    <t>A Practical Guide to Mindfulness-Based Compassionate Living: Living with Heart</t>
  </si>
  <si>
    <t>Erik van den Brink</t>
  </si>
  <si>
    <t>Brink, Erik van den</t>
  </si>
  <si>
    <t>Fritz Koster</t>
  </si>
  <si>
    <t>="1138228931"</t>
  </si>
  <si>
    <t>="9781138228931"</t>
  </si>
  <si>
    <t>Routledge</t>
  </si>
  <si>
    <t>currently-reading (#15)</t>
  </si>
  <si>
    <t>The Power of No: Because One Little Word Can Bring Health, Abundance, and Happiness</t>
  </si>
  <si>
    <t>James Altucher</t>
  </si>
  <si>
    <t>Altucher, James</t>
  </si>
  <si>
    <t>Claudia Azula Altucher</t>
  </si>
  <si>
    <t>="1401945872"</t>
  </si>
  <si>
    <t>="9781401945879"</t>
  </si>
  <si>
    <t>Hay House, Inc.</t>
  </si>
  <si>
    <t>to-read (#218)</t>
  </si>
  <si>
    <t>Deep Work: Rules for Focused Success in a Distracted World</t>
  </si>
  <si>
    <t>="1455586692"</t>
  </si>
  <si>
    <t>="9781455586691"</t>
  </si>
  <si>
    <t>Grand Central Publishing</t>
  </si>
  <si>
    <t>Nice easy read. Mind opener at some parts.</t>
  </si>
  <si>
    <t>Ultralearning: Master Hard Skills, Outsmart the Competition, and Accelerate Your Career</t>
  </si>
  <si>
    <t>Scott H. Young</t>
  </si>
  <si>
    <t>Young, Scott H.</t>
  </si>
  <si>
    <t>HarperBusiness</t>
  </si>
  <si>
    <t>3.5</t>
  </si>
  <si>
    <t>Meditation for Fidgety Skeptics: A 10% Happier How-To Book</t>
  </si>
  <si>
    <t>Dan   Harris</t>
  </si>
  <si>
    <t>Harris, Dan</t>
  </si>
  <si>
    <t>Jeff  Warren, Carlye Adler</t>
  </si>
  <si>
    <t>="0399588949"</t>
  </si>
  <si>
    <t>="9780399588945"</t>
  </si>
  <si>
    <t>Spiegel &amp; Grau</t>
  </si>
  <si>
    <t>Great book. 4.5. I had to contact the support to get the accompanying meditations available in the app. (Link in the book didn't work) which makes the book experience great. Also the video footage is nice.</t>
  </si>
  <si>
    <t>Lillys magische Schuhe, Band 3: Die zauberhaften Flügel</t>
  </si>
  <si>
    <t>Usch Luhn</t>
  </si>
  <si>
    <t>Luhn, Usch</t>
  </si>
  <si>
    <t>Alica Räth</t>
  </si>
  <si>
    <t>currently-reading (#14)</t>
  </si>
  <si>
    <t>Lillys magische Schuhe, Band 1: Die geheime Werkstatt</t>
  </si>
  <si>
    <t>Lillys magische Schuhe, Band 2: Die verbotenen Stiefel</t>
  </si>
  <si>
    <t>Shift Into Freedom: The Science and Practice of Openhearted Awareness</t>
  </si>
  <si>
    <t>Loch Kelly</t>
  </si>
  <si>
    <t>Kelly, Loch</t>
  </si>
  <si>
    <t>="1622033507"</t>
  </si>
  <si>
    <t>="9781622033508"</t>
  </si>
  <si>
    <t>Sounds True</t>
  </si>
  <si>
    <t>to-read (#217)</t>
  </si>
  <si>
    <t>The Oxygen Advantage: The Simple, Scientifically Proven Breathing Techniques for a Healthier, Slimmer, Faster, and Fitter You</t>
  </si>
  <si>
    <t>Patrick McKeown</t>
  </si>
  <si>
    <t>McKeown, Patrick</t>
  </si>
  <si>
    <t>William Morrow</t>
  </si>
  <si>
    <t>Great content / learning. Will definitely change my practice. The message was a bit repeating.</t>
  </si>
  <si>
    <t>Cent ans de solitude</t>
  </si>
  <si>
    <t>Gabriel García Márquez</t>
  </si>
  <si>
    <t>Márquez, Gabriel García</t>
  </si>
  <si>
    <t>Claude Durand, Carmen Durand</t>
  </si>
  <si>
    <t>Points</t>
  </si>
  <si>
    <t>novel</t>
  </si>
  <si>
    <t>novel (#20)</t>
  </si>
  <si>
    <t>Le Rivage des Syrtes</t>
  </si>
  <si>
    <t>Julien Gracq</t>
  </si>
  <si>
    <t>Gracq, Julien</t>
  </si>
  <si>
    <t>="2714303595"</t>
  </si>
  <si>
    <t>="9782714303592"</t>
  </si>
  <si>
    <t>Librairie José Corti</t>
  </si>
  <si>
    <t>Broché</t>
  </si>
  <si>
    <t>novel (#19)</t>
  </si>
  <si>
    <t>Quichotte</t>
  </si>
  <si>
    <t>Salman Rushdie</t>
  </si>
  <si>
    <t>Rushdie, Salman</t>
  </si>
  <si>
    <t>="178733192X"</t>
  </si>
  <si>
    <t>="9781787331921"</t>
  </si>
  <si>
    <t>Jonathan Cape</t>
  </si>
  <si>
    <t>currently-reading, fiction, novel</t>
  </si>
  <si>
    <t>currently-reading (#12), fiction (#5), novel (#18)</t>
  </si>
  <si>
    <t>Beloved</t>
  </si>
  <si>
    <t>Toni Morrison</t>
  </si>
  <si>
    <t>Morrison, Toni</t>
  </si>
  <si>
    <t>="9781400033416"</t>
  </si>
  <si>
    <t>to-read, fiction</t>
  </si>
  <si>
    <t>to-read (#212), fiction (#4)</t>
  </si>
  <si>
    <t>Fahrenheit 451</t>
  </si>
  <si>
    <t>Ray Bradbury</t>
  </si>
  <si>
    <t>Bradbury, Ray</t>
  </si>
  <si>
    <t>fiction</t>
  </si>
  <si>
    <t>fiction (#3)</t>
  </si>
  <si>
    <t>1984</t>
  </si>
  <si>
    <t>George Orwell</t>
  </si>
  <si>
    <t>Orwell, George</t>
  </si>
  <si>
    <t>fiction (#2)</t>
  </si>
  <si>
    <t>Self-Compassion: The Proven Power of Being Kind to Yourself</t>
  </si>
  <si>
    <t>Kristin Neff</t>
  </si>
  <si>
    <t>Neff, Kristin</t>
  </si>
  <si>
    <t>="0061733512"</t>
  </si>
  <si>
    <t>="9780061733512"</t>
  </si>
  <si>
    <t>to-read (#216)</t>
  </si>
  <si>
    <t>Nonviolent Communication: A Language Of Compassion</t>
  </si>
  <si>
    <t>Marshall B. Rosenberg</t>
  </si>
  <si>
    <t>Rosenberg, Marshall B.</t>
  </si>
  <si>
    <t>="1880396408"</t>
  </si>
  <si>
    <t>="9781880396407"</t>
  </si>
  <si>
    <t>Jalmar Press</t>
  </si>
  <si>
    <t>Must read.</t>
  </si>
  <si>
    <t>First Things First</t>
  </si>
  <si>
    <t>Stephen R. Covey</t>
  </si>
  <si>
    <t>Covey, Stephen R.</t>
  </si>
  <si>
    <t>A. Roger Merrill, Rebecca R. Merrill</t>
  </si>
  <si>
    <t>="0684802031"</t>
  </si>
  <si>
    <t>="9780684802039"</t>
  </si>
  <si>
    <t>Free Press</t>
  </si>
  <si>
    <t>currently-reading (#10)</t>
  </si>
  <si>
    <t>Indistractable: How to Control Your Attention and Choose Your Life</t>
  </si>
  <si>
    <t>Nir   Eyal</t>
  </si>
  <si>
    <t>Eyal, Nir</t>
  </si>
  <si>
    <t>Julie Li</t>
  </si>
  <si>
    <t>="194883653X"</t>
  </si>
  <si>
    <t>="9781948836531"</t>
  </si>
  <si>
    <t>Benbella Books</t>
  </si>
  <si>
    <t>Good short clear read.</t>
  </si>
  <si>
    <t>Daniel H. Pink</t>
  </si>
  <si>
    <t>Pink, Daniel H.</t>
  </si>
  <si>
    <t>="0735210659"</t>
  </si>
  <si>
    <t>="9780735210653"</t>
  </si>
  <si>
    <t>to-read (#215)</t>
  </si>
  <si>
    <t>Real Change: Mindfulness to Heal Ourselves and the World</t>
  </si>
  <si>
    <t>="1250310571"</t>
  </si>
  <si>
    <t>="9781250310576"</t>
  </si>
  <si>
    <t>Flatiron Books</t>
  </si>
  <si>
    <t>to-read (#214)</t>
  </si>
  <si>
    <t>Welpen-Erziehung: Der 8-Wochen-Trainingsplan für Welpen</t>
  </si>
  <si>
    <t>Katharina Schlegl-Kofler</t>
  </si>
  <si>
    <t>Schlegl-Kofler, Katharina</t>
  </si>
  <si>
    <t>="3833811714"</t>
  </si>
  <si>
    <t>="9783833811715"</t>
  </si>
  <si>
    <t>Gräfe und Unzer</t>
  </si>
  <si>
    <t>currently-reading (#11)</t>
  </si>
  <si>
    <t>The Nix</t>
  </si>
  <si>
    <t>Nathan  Hill</t>
  </si>
  <si>
    <t>Hill, Nathan</t>
  </si>
  <si>
    <t>="110194661X"</t>
  </si>
  <si>
    <t>="9781101946619"</t>
  </si>
  <si>
    <t>Knopf</t>
  </si>
  <si>
    <t>Amazing novel! Great read. Really enjoyed it. Style, structure, story. Didn't think more than 700 pages would be that easy to read.</t>
  </si>
  <si>
    <t>Impact Players: How to Take the Lead, Play Bigger, and Multiply Your Impact</t>
  </si>
  <si>
    <t>Liz Wiseman</t>
  </si>
  <si>
    <t>Wiseman, Liz</t>
  </si>
  <si>
    <t>to-read (#213)</t>
  </si>
  <si>
    <t>The Checklist Manifesto: How to Get Things Right</t>
  </si>
  <si>
    <t>Atul Gawande</t>
  </si>
  <si>
    <t>Gawande, Atul</t>
  </si>
  <si>
    <t>="0805091742"</t>
  </si>
  <si>
    <t>="9780805091748"</t>
  </si>
  <si>
    <t>Metropolitan Books</t>
  </si>
  <si>
    <t>to-read (#211)</t>
  </si>
  <si>
    <t>Love People, Use Things: Because the Opposite Never Works</t>
  </si>
  <si>
    <t>Joshua Fields Millburn</t>
  </si>
  <si>
    <t>Millburn, Joshua Fields</t>
  </si>
  <si>
    <t>Ryan Nicodemus</t>
  </si>
  <si>
    <t>="1250236517"</t>
  </si>
  <si>
    <t>="9781250236517"</t>
  </si>
  <si>
    <t>Celadon Books</t>
  </si>
  <si>
    <t>to-read (#210)</t>
  </si>
  <si>
    <t>The Cold Start Problem</t>
  </si>
  <si>
    <t>Andrew Chen</t>
  </si>
  <si>
    <t>Chen, Andrew</t>
  </si>
  <si>
    <t>="0062969749"</t>
  </si>
  <si>
    <t>="9780062969743"</t>
  </si>
  <si>
    <t>to-read (#209)</t>
  </si>
  <si>
    <t>Show Your Work!: 10 Ways to Share Your Creativity and Get Discovered</t>
  </si>
  <si>
    <t>Austin Kleon</t>
  </si>
  <si>
    <t>Kleon, Austin</t>
  </si>
  <si>
    <t>="076117897X"</t>
  </si>
  <si>
    <t>="9780761178972"</t>
  </si>
  <si>
    <t>Workman Publishing Company</t>
  </si>
  <si>
    <t>to-read (#208)</t>
  </si>
  <si>
    <t>Les Fruits d'Or</t>
  </si>
  <si>
    <t>Nathalie Sarraute</t>
  </si>
  <si>
    <t>Sarraute, Nathalie</t>
  </si>
  <si>
    <t>="2070363902"</t>
  </si>
  <si>
    <t>="9782070363902"</t>
  </si>
  <si>
    <t>Mrs. Dalloway</t>
  </si>
  <si>
    <t>Virginia Woolf</t>
  </si>
  <si>
    <t>Woolf, Virginia</t>
  </si>
  <si>
    <t>Marie-Claire Pasquier</t>
  </si>
  <si>
    <t>="2070387410"</t>
  </si>
  <si>
    <t>="9782070387410"</t>
  </si>
  <si>
    <t>Folio</t>
  </si>
  <si>
    <t>Thank You for Arguing: What Aristotle, Lincoln, and Homer Simpson Can Teach Us About the Art of Persuasion</t>
  </si>
  <si>
    <t>Jay Heinrichs</t>
  </si>
  <si>
    <t>Heinrichs, Jay</t>
  </si>
  <si>
    <t>="0307341445"</t>
  </si>
  <si>
    <t>="9780307341440"</t>
  </si>
  <si>
    <t>Three Rivers Press</t>
  </si>
  <si>
    <t>to-read (#207)</t>
  </si>
  <si>
    <t>Tiny Habits: The Small Changes That Change Everything</t>
  </si>
  <si>
    <t>B.J.  Fogg</t>
  </si>
  <si>
    <t>Fogg, B.J.</t>
  </si>
  <si>
    <t>="0358003326"</t>
  </si>
  <si>
    <t>="9780358003328"</t>
  </si>
  <si>
    <t>Mariner Books</t>
  </si>
  <si>
    <t>to-read (#206)</t>
  </si>
  <si>
    <t>Un aller simple</t>
  </si>
  <si>
    <t>Didier van Cauwelaert</t>
  </si>
  <si>
    <t>Cauwelaert, Didier van</t>
  </si>
  <si>
    <t>="3150091098"</t>
  </si>
  <si>
    <t>="9783150091098"</t>
  </si>
  <si>
    <t>Reclam, Ditzingen</t>
  </si>
  <si>
    <t>Hilarant. Très bien écrit et construit.</t>
  </si>
  <si>
    <t>The Corrections</t>
  </si>
  <si>
    <t>Jonathan Franzen</t>
  </si>
  <si>
    <t>Franzen, Jonathan</t>
  </si>
  <si>
    <t>="1841156736"</t>
  </si>
  <si>
    <t>="9781841156736"</t>
  </si>
  <si>
    <t>Fourth Estate Paperbacks</t>
  </si>
  <si>
    <t>The Art of Power</t>
  </si>
  <si>
    <t>="0061242349"</t>
  </si>
  <si>
    <t>="9780061242342"</t>
  </si>
  <si>
    <t>Highly recommended.</t>
  </si>
  <si>
    <t>How to Avoid a Climate Disaster: The Solutions We Have and the Breakthroughs We Need</t>
  </si>
  <si>
    <t>Bill  Gates</t>
  </si>
  <si>
    <t>Gates, Bill</t>
  </si>
  <si>
    <t>="0241448301"</t>
  </si>
  <si>
    <t>="9780241448304"</t>
  </si>
  <si>
    <t>Allen Lane</t>
  </si>
  <si>
    <t>Effortless: Make It Easier to Do What Matters Most</t>
  </si>
  <si>
    <t>Greg McKeown</t>
  </si>
  <si>
    <t>McKeown, Greg</t>
  </si>
  <si>
    <t>Uğur Gülsün</t>
  </si>
  <si>
    <t>="0593135644"</t>
  </si>
  <si>
    <t>="9780593135648"</t>
  </si>
  <si>
    <t>Currency</t>
  </si>
  <si>
    <t>to-read (#205)</t>
  </si>
  <si>
    <t>Karma: A Yogi's Guide to Crafting Your Destiny</t>
  </si>
  <si>
    <t>Sadhguru</t>
  </si>
  <si>
    <t>Sadhguru, Sadhguru</t>
  </si>
  <si>
    <t>="0593232011"</t>
  </si>
  <si>
    <t>="9780593232019"</t>
  </si>
  <si>
    <t>to-read (#204)</t>
  </si>
  <si>
    <t>No Rules Rules: Netflix and the Culture of Reinvention</t>
  </si>
  <si>
    <t>Reed Hastings</t>
  </si>
  <si>
    <t>Hastings, Reed</t>
  </si>
  <si>
    <t>Erin Meyer</t>
  </si>
  <si>
    <t>="0593152387"</t>
  </si>
  <si>
    <t>="9780593152386"</t>
  </si>
  <si>
    <t>Random House Large Print Publishing</t>
  </si>
  <si>
    <t>to-read (#203)</t>
  </si>
  <si>
    <t>Mama, nicht schreien!: Liebevoll bleiben bei Stress, Wut und starken Gefühlen. - Mit zahlreichen Übungen und Notfallhilfe</t>
  </si>
  <si>
    <t>Jeannine Mik</t>
  </si>
  <si>
    <t>Mik, Jeannine</t>
  </si>
  <si>
    <t>Sandra Teml-Jetter</t>
  </si>
  <si>
    <t>to-read (#201)</t>
  </si>
  <si>
    <t>Range: Why Generalists Triumph in a Specialized World</t>
  </si>
  <si>
    <t>David   Epstein</t>
  </si>
  <si>
    <t>Epstein, David</t>
  </si>
  <si>
    <t>="0735214484"</t>
  </si>
  <si>
    <t>="9780735214484"</t>
  </si>
  <si>
    <t>Great book!</t>
  </si>
  <si>
    <t>Bock, Laszlo</t>
  </si>
  <si>
    <t>="1455554790"</t>
  </si>
  <si>
    <t>="9781455554799"</t>
  </si>
  <si>
    <t>Twelve</t>
  </si>
  <si>
    <t>Do Nothing: How to Break Away from Overworking, Overdoing, and Underliving</t>
  </si>
  <si>
    <t>Celeste Headlee</t>
  </si>
  <si>
    <t>Headlee, Celeste</t>
  </si>
  <si>
    <t>="1984824732"</t>
  </si>
  <si>
    <t>="9781984824738"</t>
  </si>
  <si>
    <t>to-read (#200)</t>
  </si>
  <si>
    <t>Ryan Holiday</t>
  </si>
  <si>
    <t>Holiday, Ryan</t>
  </si>
  <si>
    <t>Stephen Hanselman</t>
  </si>
  <si>
    <t>="052554187X"</t>
  </si>
  <si>
    <t>="9780525541875"</t>
  </si>
  <si>
    <t>Crossing the Chasm: Marketing and Selling High-Tech Products to Mainstream Customers</t>
  </si>
  <si>
    <t>Geoffrey A. Moore</t>
  </si>
  <si>
    <t>Moore, Geoffrey A.</t>
  </si>
  <si>
    <t>Regis McKenna</t>
  </si>
  <si>
    <t>="0060517123"</t>
  </si>
  <si>
    <t>="9780060517120"</t>
  </si>
  <si>
    <t>business</t>
  </si>
  <si>
    <t>business (#12)</t>
  </si>
  <si>
    <t>The Power of Myth</t>
  </si>
  <si>
    <t>Joseph Campbell</t>
  </si>
  <si>
    <t>Campbell, Joseph</t>
  </si>
  <si>
    <t>Bill Moyers</t>
  </si>
  <si>
    <t>="0385418868"</t>
  </si>
  <si>
    <t>="9780385418867"</t>
  </si>
  <si>
    <t>Anchor</t>
  </si>
  <si>
    <t>to-read (#198)</t>
  </si>
  <si>
    <t>On Love</t>
  </si>
  <si>
    <t>Botton, Alain de</t>
  </si>
  <si>
    <t>="0802142400"</t>
  </si>
  <si>
    <t>="9780802142405"</t>
  </si>
  <si>
    <t>Grove Press</t>
  </si>
  <si>
    <t>to-read (#197)</t>
  </si>
  <si>
    <t>The Compound Effect: Jumpstart Your Income, Your Life, Your Success</t>
  </si>
  <si>
    <t>Hardy, Darren</t>
  </si>
  <si>
    <t>SUCCESS Books</t>
  </si>
  <si>
    <t>to-read (#196)</t>
  </si>
  <si>
    <t>Drive: The Surprising Truth About What Motivates Us</t>
  </si>
  <si>
    <t>="1594488843"</t>
  </si>
  <si>
    <t>="9781594488849"</t>
  </si>
  <si>
    <t>The Charisma Myth: How Anyone Can Master the Art and Science of Personal Magnetism</t>
  </si>
  <si>
    <t>Olivia Fox Cabane</t>
  </si>
  <si>
    <t>Cabane, Olivia Fox</t>
  </si>
  <si>
    <t>="1591844568"</t>
  </si>
  <si>
    <t>="9781591844563"</t>
  </si>
  <si>
    <t>The Power of Chowa: Finding Your Balance Using the Japanese Wisdom of Chowa</t>
  </si>
  <si>
    <t>Akemi Tanaka</t>
  </si>
  <si>
    <t>Tanaka, Akemi</t>
  </si>
  <si>
    <t>="1472267850"</t>
  </si>
  <si>
    <t>="9781472267856"</t>
  </si>
  <si>
    <t>to-read (#144)</t>
  </si>
  <si>
    <t>Freedom</t>
  </si>
  <si>
    <t>="0374158460"</t>
  </si>
  <si>
    <t>="9780374158460"</t>
  </si>
  <si>
    <t>to-read (#195)</t>
  </si>
  <si>
    <t>The Power of Awakening</t>
  </si>
  <si>
    <t>Wayne W. Dyer</t>
  </si>
  <si>
    <t>Dyer, Wayne W.</t>
  </si>
  <si>
    <t>Hay House Inc.</t>
  </si>
  <si>
    <t>to-read (#194)</t>
  </si>
  <si>
    <t>10 Secrets for Success and Inner Peace</t>
  </si>
  <si>
    <t>="1561708755"</t>
  </si>
  <si>
    <t>="9781561708758"</t>
  </si>
  <si>
    <t>Hay House</t>
  </si>
  <si>
    <t>to-read (#193)</t>
  </si>
  <si>
    <t>The Miracle of Mindfulness: An Introduction to the Practice of Meditation</t>
  </si>
  <si>
    <t>Mobi Ho</t>
  </si>
  <si>
    <t>="0807012394"</t>
  </si>
  <si>
    <t>="9780807012390"</t>
  </si>
  <si>
    <t>mindfulness</t>
  </si>
  <si>
    <t>mindfulness (#7)</t>
  </si>
  <si>
    <t>To Have or to Be? The Nature of the Psyche</t>
  </si>
  <si>
    <t>Erich Fromm</t>
  </si>
  <si>
    <t>Fromm, Erich</t>
  </si>
  <si>
    <t>="0826417388"</t>
  </si>
  <si>
    <t>="9780826417381"</t>
  </si>
  <si>
    <t>Continuum International Publishing Group</t>
  </si>
  <si>
    <t>to-read (#192)</t>
  </si>
  <si>
    <t>It's now</t>
  </si>
  <si>
    <t>Janina Kugel</t>
  </si>
  <si>
    <t>Kugel, Janina</t>
  </si>
  <si>
    <t>="9783424202519"</t>
  </si>
  <si>
    <t>Ariston</t>
  </si>
  <si>
    <t>to-read (#191)</t>
  </si>
  <si>
    <t>Real Happiness: A 28-Day Program to Realize the Power of Meditation</t>
  </si>
  <si>
    <t>="1523510129"</t>
  </si>
  <si>
    <t>="9781523510122"</t>
  </si>
  <si>
    <t>The Information: A History, a Theory, a Flood</t>
  </si>
  <si>
    <t>James Gleick</t>
  </si>
  <si>
    <t>Gleick, James</t>
  </si>
  <si>
    <t>="0375423729"</t>
  </si>
  <si>
    <t>="9780375423727"</t>
  </si>
  <si>
    <t>Knopf Doubleday Publishing Group</t>
  </si>
  <si>
    <t>Everything is Figureoutable</t>
  </si>
  <si>
    <t>Marie Forleo</t>
  </si>
  <si>
    <t>Forleo, Marie</t>
  </si>
  <si>
    <t>="0241341035"</t>
  </si>
  <si>
    <t>="9780241341032"</t>
  </si>
  <si>
    <t>Hooked: How to Build Habit-Forming Products</t>
  </si>
  <si>
    <t>="1591847788"</t>
  </si>
  <si>
    <t>="9781591847786"</t>
  </si>
  <si>
    <t>First Person Singular: Stories</t>
  </si>
  <si>
    <t>Haruki Murakami</t>
  </si>
  <si>
    <t>Murakami, Haruki</t>
  </si>
  <si>
    <t>Philip Gabriel</t>
  </si>
  <si>
    <t>="0593318072"</t>
  </si>
  <si>
    <t>="9780593318072"</t>
  </si>
  <si>
    <t>Knopf Publishing Group</t>
  </si>
  <si>
    <t xml:space="preserve">I enjoyed the most the story with the monkey </t>
  </si>
  <si>
    <t>The Entrepreneur’s Weekly Nietzsche: A Book for Disruptors</t>
  </si>
  <si>
    <t>Dave Jilk</t>
  </si>
  <si>
    <t>Jilk, Dave</t>
  </si>
  <si>
    <t>Brad Feld</t>
  </si>
  <si>
    <t>to-read (#190)</t>
  </si>
  <si>
    <t>Infinite Powers: How Calculus Reveals the Secrets of the Universe</t>
  </si>
  <si>
    <t>Steven H. Strogatz</t>
  </si>
  <si>
    <t>Strogatz, Steven H.</t>
  </si>
  <si>
    <t>="1328879984"</t>
  </si>
  <si>
    <t>="9781328879981"</t>
  </si>
  <si>
    <t>The Ultimate Guide to Remote Work: How to Grow, Manage and Work with Remote Teams (Zapier App Guides Book 3)</t>
  </si>
  <si>
    <t>Wade Foster</t>
  </si>
  <si>
    <t>Foster, Wade</t>
  </si>
  <si>
    <t>Danny Schreiber, Alison Groves, Matthew Guay, Jeremy DuVall, Belle Cooper</t>
  </si>
  <si>
    <t>Zapier, Inc.</t>
  </si>
  <si>
    <t>Anlegen mit ETF</t>
  </si>
  <si>
    <t>Brigitte Wallstabe-Watermann</t>
  </si>
  <si>
    <t>Wallstabe-Watermann, Brigitte</t>
  </si>
  <si>
    <t>Antonie Klotz, Dr. Gisela Baur, Hans G. Linder</t>
  </si>
  <si>
    <t>Stiftung Warentest</t>
  </si>
  <si>
    <t>How to Break Up with Your Phone: The 30-Day Plan to Take Back Your Life</t>
  </si>
  <si>
    <t>Catherine Price</t>
  </si>
  <si>
    <t>Price, Catherine</t>
  </si>
  <si>
    <t>="039958112X"</t>
  </si>
  <si>
    <t>="9780399581120"</t>
  </si>
  <si>
    <t>Ten Speed Press</t>
  </si>
  <si>
    <t>Stumbling on Happiness</t>
  </si>
  <si>
    <t>Daniel Todd Gilbert</t>
  </si>
  <si>
    <t>Gilbert, Daniel Todd</t>
  </si>
  <si>
    <t>="1400077427"</t>
  </si>
  <si>
    <t>="9781400077427"</t>
  </si>
  <si>
    <t>Such a funny read. Didn't expect to laugh that much while reading it.</t>
  </si>
  <si>
    <t>Noise: A Flaw in Human Judgment</t>
  </si>
  <si>
    <t>Daniel Kahneman</t>
  </si>
  <si>
    <t>Kahneman, Daniel</t>
  </si>
  <si>
    <t>Olivier Sibony, Cass R. Sunstein</t>
  </si>
  <si>
    <t>="0316451401"</t>
  </si>
  <si>
    <t>="9780316451406"</t>
  </si>
  <si>
    <t>Little, Brown Spark</t>
  </si>
  <si>
    <t>to-read (#189)</t>
  </si>
  <si>
    <t>Brave New Work: Are You Ready to Reinvent Your Organization?</t>
  </si>
  <si>
    <t>Aaron Dignan</t>
  </si>
  <si>
    <t>Dignan, Aaron</t>
  </si>
  <si>
    <t>="0525536205"</t>
  </si>
  <si>
    <t>="9780525536208"</t>
  </si>
  <si>
    <t>The Invincible Company: How to Constantly Reinvent Your Organization with Inspiration From the World's Best Business Models</t>
  </si>
  <si>
    <t>Alexander Osterwalder</t>
  </si>
  <si>
    <t>Osterwalder, Alexander</t>
  </si>
  <si>
    <t>Yves Pigneur, Frederic Etiemble, Alan Smith</t>
  </si>
  <si>
    <t>="1119523966"</t>
  </si>
  <si>
    <t>="9781119523963"</t>
  </si>
  <si>
    <t>to-read (#188)</t>
  </si>
  <si>
    <t>Greenlights</t>
  </si>
  <si>
    <t>Matthew McConaughey</t>
  </si>
  <si>
    <t>McConaughey, Matthew</t>
  </si>
  <si>
    <t>="0593139135"</t>
  </si>
  <si>
    <t>="9780593139134"</t>
  </si>
  <si>
    <t>to-read (#187)</t>
  </si>
  <si>
    <t>Inner Engineering: A Yogi's Guide to Joy</t>
  </si>
  <si>
    <t>mindfulness (#24)</t>
  </si>
  <si>
    <t>Hit Refresh: The Quest to Rediscover Microsoft's Soul and Imagine a Better Future for Everyone</t>
  </si>
  <si>
    <t>Satya Nadella</t>
  </si>
  <si>
    <t>Nadella, Satya</t>
  </si>
  <si>
    <t>Greg Shaw, Jill Tracie Nichols</t>
  </si>
  <si>
    <t>="0062652508"</t>
  </si>
  <si>
    <t>="9780062652508"</t>
  </si>
  <si>
    <t>Multipliers: How the Best Leaders Make Everyone Smarter</t>
  </si>
  <si>
    <t>="0061964395"</t>
  </si>
  <si>
    <t>="9780061964398"</t>
  </si>
  <si>
    <t>Zen in The Art of Writing</t>
  </si>
  <si>
    <t>RosettaBooks</t>
  </si>
  <si>
    <t>currently-reading (#9)</t>
  </si>
  <si>
    <t>Reality is Not What it Seems: The Journey to Quantum Gravity</t>
  </si>
  <si>
    <t>Carlo Rovelli</t>
  </si>
  <si>
    <t>Rovelli, Carlo</t>
  </si>
  <si>
    <t>="0241257964"</t>
  </si>
  <si>
    <t>="9780241257968"</t>
  </si>
  <si>
    <t>On Writing</t>
  </si>
  <si>
    <t>Ernest Hemingway</t>
  </si>
  <si>
    <t>Hemingway, Ernest</t>
  </si>
  <si>
    <t>Larry W. Phillips, Charles Scribner Jr.</t>
  </si>
  <si>
    <t>="0684854295"</t>
  </si>
  <si>
    <t>="9780684854298"</t>
  </si>
  <si>
    <t>Scribner</t>
  </si>
  <si>
    <t>to-read (#186)</t>
  </si>
  <si>
    <t>Berengueres, Jose</t>
  </si>
  <si>
    <t>Stokes-Hamilton</t>
  </si>
  <si>
    <t>currently-reading (#8)</t>
  </si>
  <si>
    <t>The Almanack of Naval Ravikant: A Guide to Wealth and Happiness</t>
  </si>
  <si>
    <t>Eric Jorgenson</t>
  </si>
  <si>
    <t>Jorgenson, Eric</t>
  </si>
  <si>
    <t>="9781544514208"</t>
  </si>
  <si>
    <t>Magrathea Publishing</t>
  </si>
  <si>
    <t>The Journey Within: A Modern Guide to the Ancient Wisdom of Bhakti Yoga: Unleashing the Power of the Soul</t>
  </si>
  <si>
    <t>Radhanath Swami</t>
  </si>
  <si>
    <t>Swami, Radhanath</t>
  </si>
  <si>
    <t>="1608871576"</t>
  </si>
  <si>
    <t>="9781608871575"</t>
  </si>
  <si>
    <t>Mandala Publishing</t>
  </si>
  <si>
    <t>to-read (#185)</t>
  </si>
  <si>
    <t>Brendon Burchard</t>
  </si>
  <si>
    <t>Burchard, Brendon</t>
  </si>
  <si>
    <t>="1401952852"</t>
  </si>
  <si>
    <t>="9781401952853"</t>
  </si>
  <si>
    <t>to-read (#184)</t>
  </si>
  <si>
    <t>Leaders Eat Last</t>
  </si>
  <si>
    <t>Simon Sinek</t>
  </si>
  <si>
    <t>Sinek, Simon</t>
  </si>
  <si>
    <t>="1591845327"</t>
  </si>
  <si>
    <t>="9781591845324"</t>
  </si>
  <si>
    <t>Bliss Brain: The Neuroscience of Remodeling Your Brain for Resilience, Creativity, and Joy</t>
  </si>
  <si>
    <t>Dawson Church</t>
  </si>
  <si>
    <t>Church, Dawson</t>
  </si>
  <si>
    <t>to-read (#183)</t>
  </si>
  <si>
    <t>The End of Power: From Boardrooms to Battlefields and Churches to States, Why Being In Charge Isn't What It Used to Be</t>
  </si>
  <si>
    <t>Moisés Naím</t>
  </si>
  <si>
    <t>Naím, Moisés</t>
  </si>
  <si>
    <t>="0465031560"</t>
  </si>
  <si>
    <t>="9780465031566"</t>
  </si>
  <si>
    <t>Basic Books</t>
  </si>
  <si>
    <t>to-read (#182)</t>
  </si>
  <si>
    <t>Mating in Captivity: Reconciling the Erotic and the Domestic</t>
  </si>
  <si>
    <t>Esther Perel</t>
  </si>
  <si>
    <t>Perel, Esther</t>
  </si>
  <si>
    <t>Martina Pranić</t>
  </si>
  <si>
    <t>="0060753633"</t>
  </si>
  <si>
    <t>="9780060753634"</t>
  </si>
  <si>
    <t>to-read (#181)</t>
  </si>
  <si>
    <t>The Man Who Solved the Market: How Jim Simons Launched the Quant Revolution</t>
  </si>
  <si>
    <t>Gregory Zuckerman</t>
  </si>
  <si>
    <t>Zuckerman, Gregory</t>
  </si>
  <si>
    <t>="0241309727"</t>
  </si>
  <si>
    <t>="9780241309728"</t>
  </si>
  <si>
    <t>Portfolio Penguin</t>
  </si>
  <si>
    <t>to-read (#180)</t>
  </si>
  <si>
    <t>The Beginning of Infinity: Explanations That Transform the World</t>
  </si>
  <si>
    <t>David Deutsch</t>
  </si>
  <si>
    <t>Deutsch, David</t>
  </si>
  <si>
    <t>to-read (#179)</t>
  </si>
  <si>
    <t>How To Get To The Top Of Google in 2021: The Plain English Guide to SEO (Digital Marketing by Exposure Ninja)</t>
  </si>
  <si>
    <t>Tim Cameron-Kitchen</t>
  </si>
  <si>
    <t>Cameron-Kitchen, Tim</t>
  </si>
  <si>
    <t>Dale Davies, Andrew Tuxford, Hannah Whitehouse</t>
  </si>
  <si>
    <t>Exposure Ninja</t>
  </si>
  <si>
    <t>Let My People Go Surfing: The Education of a Reluctant Businessman</t>
  </si>
  <si>
    <t>Yvon Chouinard</t>
  </si>
  <si>
    <t>Chouinard, Yvon</t>
  </si>
  <si>
    <t>="0143037838"</t>
  </si>
  <si>
    <t>="9780143037835"</t>
  </si>
  <si>
    <t>Predictably Irrational: The Hidden Forces That Shape Our Decisions</t>
  </si>
  <si>
    <t>Dan Ariely</t>
  </si>
  <si>
    <t>Ariely, Dan</t>
  </si>
  <si>
    <t xml:space="preserve">HarperCollins Canada </t>
  </si>
  <si>
    <t>to-read (#178)</t>
  </si>
  <si>
    <t>The Bullet Journal Method: Track the Past, Order the Present, Design the Future</t>
  </si>
  <si>
    <t>Ryder Carroll</t>
  </si>
  <si>
    <t>Carroll, Ryder</t>
  </si>
  <si>
    <t>to-read (#177)</t>
  </si>
  <si>
    <t>The Power of Meaning: Crafting a Life That Matters</t>
  </si>
  <si>
    <t>Emily Esfahani Smith</t>
  </si>
  <si>
    <t>Smith, Emily Esfahani</t>
  </si>
  <si>
    <t>="0553419994"</t>
  </si>
  <si>
    <t>="9780553419993"</t>
  </si>
  <si>
    <t>to-read (#176)</t>
  </si>
  <si>
    <t>Reinventing Organizations: A Guide to Creating Organizations Inspired by the Next Stage of Human Consciousness</t>
  </si>
  <si>
    <t>Frederic Laloux</t>
  </si>
  <si>
    <t>Laloux, Frederic</t>
  </si>
  <si>
    <t>Ken Wilber</t>
  </si>
  <si>
    <t>Nelson Parker</t>
  </si>
  <si>
    <t>Complexity: The Emerging Science at the Edge of Order and Chaos</t>
  </si>
  <si>
    <t>M. Mitchell Waldrop</t>
  </si>
  <si>
    <t>Waldrop, M. Mitchell</t>
  </si>
  <si>
    <t>="0671872346"</t>
  </si>
  <si>
    <t>="9780671872342"</t>
  </si>
  <si>
    <t>Simon  Schuster</t>
  </si>
  <si>
    <t>to-read (#175)</t>
  </si>
  <si>
    <t>Everything is F*cked: A Book About Hope</t>
  </si>
  <si>
    <t>Mark Manson</t>
  </si>
  <si>
    <t>Manson, Mark</t>
  </si>
  <si>
    <t>="0062955934"</t>
  </si>
  <si>
    <t>="9780062955937"</t>
  </si>
  <si>
    <t>to-read (#174)</t>
  </si>
  <si>
    <t>Fast Times: How Digital Winners Set Direction, Learn, and Adapt</t>
  </si>
  <si>
    <t>Arun Arora</t>
  </si>
  <si>
    <t>Arora, Arun</t>
  </si>
  <si>
    <t>Amazon Publishing</t>
  </si>
  <si>
    <t>to-read (#172)</t>
  </si>
  <si>
    <t>One Small Step Can Change Your Life: The Kaizen Way</t>
  </si>
  <si>
    <t>Robert Maurer</t>
  </si>
  <si>
    <t>Maurer, Robert</t>
  </si>
  <si>
    <t>="9780761129233"</t>
  </si>
  <si>
    <t>Workman Publishing</t>
  </si>
  <si>
    <t>to-read (#171)</t>
  </si>
  <si>
    <t>Think Again: The Power of Knowing What You Don't Know</t>
  </si>
  <si>
    <t>Adam M. Grant</t>
  </si>
  <si>
    <t>Grant, Adam M.</t>
  </si>
  <si>
    <t>="1984878107"</t>
  </si>
  <si>
    <t>="9781984878106"</t>
  </si>
  <si>
    <t>Viking Books</t>
  </si>
  <si>
    <t>to-read (#170)</t>
  </si>
  <si>
    <t>Einstein: The Life of a Genius</t>
  </si>
  <si>
    <t>="0061893897"</t>
  </si>
  <si>
    <t>="9780061893896"</t>
  </si>
  <si>
    <t>Collins Design</t>
  </si>
  <si>
    <t>to-read (#169)</t>
  </si>
  <si>
    <t>="1501139150"</t>
  </si>
  <si>
    <t>="9781501139154"</t>
  </si>
  <si>
    <t>to-read (#168)</t>
  </si>
  <si>
    <t>Benjamin Franklin: An American Life</t>
  </si>
  <si>
    <t>="074325807X"</t>
  </si>
  <si>
    <t>="9780743258074"</t>
  </si>
  <si>
    <t>to-read (#167)</t>
  </si>
  <si>
    <t>Why Are We Yelling?: The Art of Productive Disagreement</t>
  </si>
  <si>
    <t>Buster Benson</t>
  </si>
  <si>
    <t>Benson, Buster</t>
  </si>
  <si>
    <t>="0525540105"</t>
  </si>
  <si>
    <t>="9780525540106"</t>
  </si>
  <si>
    <t>to-read (#166)</t>
  </si>
  <si>
    <t>The Adventures of Sherlock Holmes (Sherlock Holmes, #3)</t>
  </si>
  <si>
    <t>Arthur Conan Doyle</t>
  </si>
  <si>
    <t>Doyle, Arthur Conan</t>
  </si>
  <si>
    <t>Oxford University Press</t>
  </si>
  <si>
    <t>Les Misérables</t>
  </si>
  <si>
    <t>Victor Hugo</t>
  </si>
  <si>
    <t>Hugo, Victor</t>
  </si>
  <si>
    <t>Norman MacAfee, Charles E. Wilbour, Lee Fahnestock, Isabel Florence Hapgood</t>
  </si>
  <si>
    <t>Penguin</t>
  </si>
  <si>
    <t>The Hitchhiker's Guide to the Galaxy (The Hitchhiker's Guide to the Galaxy, #1)</t>
  </si>
  <si>
    <t>Douglas Adams</t>
  </si>
  <si>
    <t>Adams, Douglas</t>
  </si>
  <si>
    <t>Del Rey</t>
  </si>
  <si>
    <t>to-read (#165)</t>
  </si>
  <si>
    <t>Mastermind: How to Think Like Sherlock Holmes</t>
  </si>
  <si>
    <t>="0670026573"</t>
  </si>
  <si>
    <t>="9780670026579"</t>
  </si>
  <si>
    <t>Viking Adult</t>
  </si>
  <si>
    <t>to-read (#164)</t>
  </si>
  <si>
    <t>Tribes: We Need You to Lead Us</t>
  </si>
  <si>
    <t>Godin, Seth</t>
  </si>
  <si>
    <t>="1591842336"</t>
  </si>
  <si>
    <t>="9781591842330"</t>
  </si>
  <si>
    <t>Inspirational. Short reads.</t>
  </si>
  <si>
    <t>How to Make Virtual Teams Work: Manage and Empower a Virtual Team That Thrives While Working from Home (Ignite Reads)</t>
  </si>
  <si>
    <t>Glazer, Robert</t>
  </si>
  <si>
    <t>Simple Truths</t>
  </si>
  <si>
    <t>Very short read. Could be condensed in 3 blog posts.&lt;br/&gt;A bit bragging.</t>
  </si>
  <si>
    <t>="0593328973"</t>
  </si>
  <si>
    <t>="9780593328972"</t>
  </si>
  <si>
    <t>to-read (#163)</t>
  </si>
  <si>
    <t>Rebel Talent: Why It Pays to Break the Rules at Work and in Life</t>
  </si>
  <si>
    <t>Francesca Gino</t>
  </si>
  <si>
    <t>Gino, Francesca</t>
  </si>
  <si>
    <t>="0062694642"</t>
  </si>
  <si>
    <t>="9780062694645"</t>
  </si>
  <si>
    <t>Dey Street Books</t>
  </si>
  <si>
    <t>The Everything Store: Jeff Bezos and the Age of Amazon</t>
  </si>
  <si>
    <t>Brad Stone</t>
  </si>
  <si>
    <t>Stone, Brad</t>
  </si>
  <si>
    <t>="0316219266"</t>
  </si>
  <si>
    <t>="9780316219266"</t>
  </si>
  <si>
    <t>to-read (#162)</t>
  </si>
  <si>
    <t>Built to Last: Successful Habits of Visionary Companies</t>
  </si>
  <si>
    <t>James C. Collins</t>
  </si>
  <si>
    <t>Collins, James C.</t>
  </si>
  <si>
    <t>Jerry I. Porras</t>
  </si>
  <si>
    <t>="0060566108"</t>
  </si>
  <si>
    <t>="9780060566104"</t>
  </si>
  <si>
    <t>to-read (#161)</t>
  </si>
  <si>
    <t>Rich Dad, Poor Dad</t>
  </si>
  <si>
    <t>Robert T. Kiyosaki</t>
  </si>
  <si>
    <t>Kiyosaki, Robert T.</t>
  </si>
  <si>
    <t>Sharon L. Lechter</t>
  </si>
  <si>
    <t>="0751532711"</t>
  </si>
  <si>
    <t>="9780751532715"</t>
  </si>
  <si>
    <t>Time Warner Books UK</t>
  </si>
  <si>
    <t>to-read (#160)</t>
  </si>
  <si>
    <t>How to Think Like a Roman Emperor: The Stoic Philosophy of Marcus Aurelius</t>
  </si>
  <si>
    <t>Donald J. Robertson</t>
  </si>
  <si>
    <t>Robertson, Donald J.</t>
  </si>
  <si>
    <t>to-read (#159)</t>
  </si>
  <si>
    <t>On Writing: A Memoir of the Craft</t>
  </si>
  <si>
    <t>Stephen King</t>
  </si>
  <si>
    <t>King, Stephen</t>
  </si>
  <si>
    <t>="0743455967"</t>
  </si>
  <si>
    <t>="9780743455961"</t>
  </si>
  <si>
    <t>Pocket Books</t>
  </si>
  <si>
    <t>to-read (#158)</t>
  </si>
  <si>
    <t>In Love with the World: A Monk's Journey Through the Bardos of Living and Dying</t>
  </si>
  <si>
    <t>Yongey Mingyur</t>
  </si>
  <si>
    <t>Mingyur, Yongey</t>
  </si>
  <si>
    <t>Helen Tworkov</t>
  </si>
  <si>
    <t>="0525512535"</t>
  </si>
  <si>
    <t>="9780525512530"</t>
  </si>
  <si>
    <t>mindfulness (#23)</t>
  </si>
  <si>
    <t>Joy on Demand: The Art of Discovering the Happiness Within</t>
  </si>
  <si>
    <t>Chade-Meng Tan</t>
  </si>
  <si>
    <t>Tan, Chade-Meng</t>
  </si>
  <si>
    <t>="0062378856"</t>
  </si>
  <si>
    <t>="9780062378859"</t>
  </si>
  <si>
    <t>mindfulness, self-help</t>
  </si>
  <si>
    <t>mindfulness (#15), self-help (#23)</t>
  </si>
  <si>
    <t>The Joy of Living: Unlocking the Secret and Science of Happiness</t>
  </si>
  <si>
    <t>Daniel Goleman, Eric  Swanson</t>
  </si>
  <si>
    <t>="0307346250"</t>
  </si>
  <si>
    <t>="9780307346254"</t>
  </si>
  <si>
    <t>mindfulness, meditation, happiness</t>
  </si>
  <si>
    <t>mindfulness (#22), meditation (#2), happiness (#8)</t>
  </si>
  <si>
    <t>Great book. Highly recommended.</t>
  </si>
  <si>
    <t>The Vision Driven Leader: 10 Questions to Focus Your Efforts, Energize Your Team, and Scale Your Business</t>
  </si>
  <si>
    <t>Michael Hyatt</t>
  </si>
  <si>
    <t>Hyatt, Michael</t>
  </si>
  <si>
    <t>Baker Books</t>
  </si>
  <si>
    <t>to-read (#157)</t>
  </si>
  <si>
    <t>The Halo Effect: And the Eight Other Business Delusions That Deceive Managers</t>
  </si>
  <si>
    <t>Philip M. Rosenzweig</t>
  </si>
  <si>
    <t>Rosenzweig, Philip M.</t>
  </si>
  <si>
    <t>="0743291255"</t>
  </si>
  <si>
    <t>="9780743291255"</t>
  </si>
  <si>
    <t>to-read (#156)</t>
  </si>
  <si>
    <t>Oneness With All Life: Inspirational Selections from A New Earth</t>
  </si>
  <si>
    <t>Eckhart Tolle</t>
  </si>
  <si>
    <t>Tolle, Eckhart</t>
  </si>
  <si>
    <t>Экхарт Толл</t>
  </si>
  <si>
    <t>="0525950885"</t>
  </si>
  <si>
    <t>="9780525950882"</t>
  </si>
  <si>
    <t>Viking</t>
  </si>
  <si>
    <t>to-read (#155)</t>
  </si>
  <si>
    <t>From Chaos to Successful Distributed Agile Teams: Collaborate to Deliver</t>
  </si>
  <si>
    <t>Johanna Rothman</t>
  </si>
  <si>
    <t>Rothman, Johanna</t>
  </si>
  <si>
    <t>Mark Kilby</t>
  </si>
  <si>
    <t>Practical Ink</t>
  </si>
  <si>
    <t>to-read (#154)</t>
  </si>
  <si>
    <t>Speed Reading: Learn to Read a 200+ Page Book in 1 Hour</t>
  </si>
  <si>
    <t>Kam Knight</t>
  </si>
  <si>
    <t>Knight, Kam</t>
  </si>
  <si>
    <t>MindLily.com</t>
  </si>
  <si>
    <t>Good quick read. Missing technique reading with a finger mentioned by Jim Kwik and Tim Ferriss. Subvocalization is very hard for me to quit.</t>
  </si>
  <si>
    <t>Team of Teams: New Rules of Engagement for a Complex World</t>
  </si>
  <si>
    <t>Stanley McChrystal</t>
  </si>
  <si>
    <t>McChrystal, Stanley</t>
  </si>
  <si>
    <t>Chris Fussell, Tantum Collins, David        Silverman</t>
  </si>
  <si>
    <t>="1591847486"</t>
  </si>
  <si>
    <t>="9781591847489"</t>
  </si>
  <si>
    <t>Portfolio Hardcover</t>
  </si>
  <si>
    <t>to-read (#153)</t>
  </si>
  <si>
    <t>This is It and Other Essays on Zen and Spiritual Experience</t>
  </si>
  <si>
    <t>Alan W. Watts</t>
  </si>
  <si>
    <t>Watts, Alan W.</t>
  </si>
  <si>
    <t>="0394719042"</t>
  </si>
  <si>
    <t>="9780394719047"</t>
  </si>
  <si>
    <t>to-read (#152)</t>
  </si>
  <si>
    <t>Be Here Now</t>
  </si>
  <si>
    <t>Ram Dass</t>
  </si>
  <si>
    <t>Dass, Ram</t>
  </si>
  <si>
    <t>to-read (#151)</t>
  </si>
  <si>
    <t>The Untethered Soul: The Journey Beyond Yourself</t>
  </si>
  <si>
    <t>="1572245379"</t>
  </si>
  <si>
    <t>="9781572245372"</t>
  </si>
  <si>
    <t>to-read (#150)</t>
  </si>
  <si>
    <t>Joyful Wisdom: Embracing Change and Finding Freedom</t>
  </si>
  <si>
    <t>Eric  Swanson</t>
  </si>
  <si>
    <t>="0307407799"</t>
  </si>
  <si>
    <t>="9780307407795"</t>
  </si>
  <si>
    <t>to-read (#149)</t>
  </si>
  <si>
    <t>The Remains of the Day</t>
  </si>
  <si>
    <t>Kazuo Ishiguro</t>
  </si>
  <si>
    <t>Ishiguro, Kazuo</t>
  </si>
  <si>
    <t>Faber &amp; Faber</t>
  </si>
  <si>
    <t>to-read (#148)</t>
  </si>
  <si>
    <t>Chill mal!: Am Ende der Geduld ist noch viel Pubertät übrig</t>
  </si>
  <si>
    <t>Matthias Jung</t>
  </si>
  <si>
    <t>Jung, Matthias</t>
  </si>
  <si>
    <t>Edel</t>
  </si>
  <si>
    <t>Friday Forward: Inspiration  Motivation to End Your Week Stronger Than It Started</t>
  </si>
  <si>
    <t>="1728230438"</t>
  </si>
  <si>
    <t>="9781728230436"</t>
  </si>
  <si>
    <t>Escape from Freedom</t>
  </si>
  <si>
    <t>="0805031499"</t>
  </si>
  <si>
    <t>="9780805031492"</t>
  </si>
  <si>
    <t>Holt Paperbacks</t>
  </si>
  <si>
    <t>to-read (#147)</t>
  </si>
  <si>
    <t>The Long Tail: Why the Future of Business is Selling Less of More</t>
  </si>
  <si>
    <t>Chris Anderson</t>
  </si>
  <si>
    <t>Anderson, Chris</t>
  </si>
  <si>
    <t>="1401309666"</t>
  </si>
  <si>
    <t>="9781401309664"</t>
  </si>
  <si>
    <t>Hachette Books</t>
  </si>
  <si>
    <t>to-read (#146)</t>
  </si>
  <si>
    <t>Good to Great: Why Some Companies Make the Leap... and Others Don't</t>
  </si>
  <si>
    <t>="0066620996"</t>
  </si>
  <si>
    <t>="9780066620992"</t>
  </si>
  <si>
    <t>to-read (#145)</t>
  </si>
  <si>
    <t>The Paper Menagerie and Other Stories</t>
  </si>
  <si>
    <t>Ken Liu</t>
  </si>
  <si>
    <t>Liu, Ken</t>
  </si>
  <si>
    <t>="1481442546"</t>
  </si>
  <si>
    <t>="9781481442541"</t>
  </si>
  <si>
    <t>Gallery / Saga Press</t>
  </si>
  <si>
    <t>currently-reading (#7)</t>
  </si>
  <si>
    <t>to-read (#143)</t>
  </si>
  <si>
    <t>Elevate: Push Beyond Your Limits and Unlock Success in Yourself and Others</t>
  </si>
  <si>
    <t>to-read (#142)</t>
  </si>
  <si>
    <t>Scrum: The Art of Doing Twice the Work in Half the Time</t>
  </si>
  <si>
    <t>Jeff Sutherland</t>
  </si>
  <si>
    <t>Sutherland, Jeff</t>
  </si>
  <si>
    <t>="038534645X"</t>
  </si>
  <si>
    <t>="9780385346450"</t>
  </si>
  <si>
    <t>Crown Business</t>
  </si>
  <si>
    <t>agile, business</t>
  </si>
  <si>
    <t>agile (#19), business (#19)</t>
  </si>
  <si>
    <t>Great book about Scrum and its history from his creator.</t>
  </si>
  <si>
    <t>The Book You Wish Your Parents Had Read (and Your Children Will Be Glad That You Did)</t>
  </si>
  <si>
    <t>to-read (#141)</t>
  </si>
  <si>
    <t>The Art of the Start 2.0: The Time-Tested, Battle-Hardened Guide for Anyone Starting Anything</t>
  </si>
  <si>
    <t>Guy Kawasaki</t>
  </si>
  <si>
    <t>Kawasaki, Guy</t>
  </si>
  <si>
    <t>="1591847842"</t>
  </si>
  <si>
    <t>="9781591847847"</t>
  </si>
  <si>
    <t>to-read (#140)</t>
  </si>
  <si>
    <t>The Good Earth (House of Earth, #1)</t>
  </si>
  <si>
    <t>Pearl S. Buck</t>
  </si>
  <si>
    <t>Buck, Pearl S.</t>
  </si>
  <si>
    <t>="1416500189"</t>
  </si>
  <si>
    <t>="9781416500186"</t>
  </si>
  <si>
    <t>Howard Publishing Co</t>
  </si>
  <si>
    <t>to-read (#139)</t>
  </si>
  <si>
    <t>Prime Obsession: Bernhard Riemann and the Greatest Unsolved Problem in Mathematics</t>
  </si>
  <si>
    <t>John Derbyshire</t>
  </si>
  <si>
    <t>Derbyshire, John</t>
  </si>
  <si>
    <t>="0452285259"</t>
  </si>
  <si>
    <t>="9780452285255"</t>
  </si>
  <si>
    <t>Plume</t>
  </si>
  <si>
    <t>to-read (#138)</t>
  </si>
  <si>
    <t>Einstein: His Life and Universe</t>
  </si>
  <si>
    <t>="0743264738"</t>
  </si>
  <si>
    <t>="9780743264730"</t>
  </si>
  <si>
    <t>to-read (#137)</t>
  </si>
  <si>
    <t>Fooled by Randomness: The Hidden Role of Chance in Life and in the Markets</t>
  </si>
  <si>
    <t>Nassim Nicholas Taleb</t>
  </si>
  <si>
    <t>Taleb, Nassim Nicholas</t>
  </si>
  <si>
    <t>="0812975219"</t>
  </si>
  <si>
    <t>="9780812975215"</t>
  </si>
  <si>
    <t>Random House Trade Paperbacks</t>
  </si>
  <si>
    <t>to-read (#136)</t>
  </si>
  <si>
    <t>Astrophysics for People in a Hurry</t>
  </si>
  <si>
    <t>Neil deGrasse Tyson</t>
  </si>
  <si>
    <t>Tyson, Neil deGrasse</t>
  </si>
  <si>
    <t>="0393609391"</t>
  </si>
  <si>
    <t>="9780393609394"</t>
  </si>
  <si>
    <t>W. W. Norton  Company</t>
  </si>
  <si>
    <t>to-read (#135)</t>
  </si>
  <si>
    <t>QED: The Strange Theory of Light and Matter</t>
  </si>
  <si>
    <t>Richard P. Feynman</t>
  </si>
  <si>
    <t>Feynman, Richard P.</t>
  </si>
  <si>
    <t>="0691024170"</t>
  </si>
  <si>
    <t>="9780691024172"</t>
  </si>
  <si>
    <t>Princeton University Press</t>
  </si>
  <si>
    <t>The Universe in a Nutshell</t>
  </si>
  <si>
    <t>="055380202X"</t>
  </si>
  <si>
    <t>="9780553802023"</t>
  </si>
  <si>
    <t>The Feynman Lectures on Physics</t>
  </si>
  <si>
    <t>Robert B. Leighton, Matthew L. Sands</t>
  </si>
  <si>
    <t>="0805390456"</t>
  </si>
  <si>
    <t>="9780805390452"</t>
  </si>
  <si>
    <t>Addison Wesley</t>
  </si>
  <si>
    <t>Catch-22</t>
  </si>
  <si>
    <t>Joseph Heller</t>
  </si>
  <si>
    <t>Heller, Joseph</t>
  </si>
  <si>
    <t>="0684833395"</t>
  </si>
  <si>
    <t>="9780684833392"</t>
  </si>
  <si>
    <t xml:space="preserve">Simon &amp; Schuster </t>
  </si>
  <si>
    <t>to-read (#134)</t>
  </si>
  <si>
    <t>You Are Here: Discovering the Magic of the Present Moment</t>
  </si>
  <si>
    <t>Sherab Chödzin Kohn</t>
  </si>
  <si>
    <t>="1590306759"</t>
  </si>
  <si>
    <t>="9781590306758"</t>
  </si>
  <si>
    <t>Buddha in Blue Jeans: An Extremely Short Simple Zen Guide to Sitting Quietly and Being Buddha</t>
  </si>
  <si>
    <t>Tai Sheridan</t>
  </si>
  <si>
    <t>Sheridan, Tai</t>
  </si>
  <si>
    <t>Poet Poppy Press</t>
  </si>
  <si>
    <t>On Writing Well: The Classic Guide to Writing Nonfiction</t>
  </si>
  <si>
    <t>William Zinsser</t>
  </si>
  <si>
    <t>Zinsser, William</t>
  </si>
  <si>
    <t>="0060891548"</t>
  </si>
  <si>
    <t>="9780060891541"</t>
  </si>
  <si>
    <t>Harper Perennial</t>
  </si>
  <si>
    <t>="0525512179"</t>
  </si>
  <si>
    <t>="9780525512172"</t>
  </si>
  <si>
    <t>4 3 2 1</t>
  </si>
  <si>
    <t>Auster, Paul</t>
  </si>
  <si>
    <t>="1627794468"</t>
  </si>
  <si>
    <t>="9781627794466"</t>
  </si>
  <si>
    <t>Henry Holt and Co.</t>
  </si>
  <si>
    <t>novel (#14)</t>
  </si>
  <si>
    <t>This is a masterpiece.&lt;br/&gt;Long sentences but the flow is great. (reminded me a bit about reading Proust)</t>
  </si>
  <si>
    <t>Creative Calling: Establish a Daily Practice, Infuse Your World with Meaning, and Find Success in Work, Hobby, and Life</t>
  </si>
  <si>
    <t>Chase Jarvis</t>
  </si>
  <si>
    <t>Jarvis, Chase</t>
  </si>
  <si>
    <t>="1982687738"</t>
  </si>
  <si>
    <t>="9781982687731"</t>
  </si>
  <si>
    <t>Audio CD</t>
  </si>
  <si>
    <t>to-read (#119)</t>
  </si>
  <si>
    <t>The Overstory</t>
  </si>
  <si>
    <t>Richard Powers</t>
  </si>
  <si>
    <t>Powers, Richard</t>
  </si>
  <si>
    <t>="039335668X"</t>
  </si>
  <si>
    <t>="9780393356687"</t>
  </si>
  <si>
    <t>W.W. Norton &amp; Company</t>
  </si>
  <si>
    <t>to-read (#133)</t>
  </si>
  <si>
    <t>Stefan Zweig: Die Welt von Gestern</t>
  </si>
  <si>
    <t>Stefan Zweig</t>
  </si>
  <si>
    <t>Zweig, Stefan</t>
  </si>
  <si>
    <t>Musaicum Books</t>
  </si>
  <si>
    <t>to-read (#132)</t>
  </si>
  <si>
    <t>Montaigne</t>
  </si>
  <si>
    <t>="3596127262"</t>
  </si>
  <si>
    <t>="9783596127269"</t>
  </si>
  <si>
    <t>to-read (#131)</t>
  </si>
  <si>
    <t>Stefan Zweig - Gesammelte Werke</t>
  </si>
  <si>
    <t>Jürgen Schulze</t>
  </si>
  <si>
    <t>="9783954182916"</t>
  </si>
  <si>
    <t>Null Papier Verlag</t>
  </si>
  <si>
    <t>to-read (#130)</t>
  </si>
  <si>
    <t>How to Listen with Intention: The Foundation of True Connection, Communication, and Relationships (How to be More Likable and Charismatic Book 7)</t>
  </si>
  <si>
    <t>Patrick King</t>
  </si>
  <si>
    <t>King, Patrick</t>
  </si>
  <si>
    <t>to-read (#129)</t>
  </si>
  <si>
    <t>The Sense of Style: The Thinking Person's Guide to Writing in the 21st Century</t>
  </si>
  <si>
    <t>Steven Pinker</t>
  </si>
  <si>
    <t>Pinker, Steven</t>
  </si>
  <si>
    <t>="0670025852"</t>
  </si>
  <si>
    <t>="9780670025855"</t>
  </si>
  <si>
    <t>to-read (#128)</t>
  </si>
  <si>
    <t>Limitless: Upgrade Your Brain, Learn Anything Faster, and Unlock Your Exceptional Life</t>
  </si>
  <si>
    <t>Jim Kwik</t>
  </si>
  <si>
    <t>Kwik, Jim</t>
  </si>
  <si>
    <t>to-read (#127)</t>
  </si>
  <si>
    <t>Parenting Through the Eyes of Lollipops</t>
  </si>
  <si>
    <t>Jacqueline Pirtle</t>
  </si>
  <si>
    <t>Pirtle, Jacqueline</t>
  </si>
  <si>
    <t>FreakyHealer</t>
  </si>
  <si>
    <t>to-read (#126)</t>
  </si>
  <si>
    <t>The Innovator's Dilemma: The Revolutionary Book that Will Change the Way You Do Business</t>
  </si>
  <si>
    <t>Clayton M. Christensen</t>
  </si>
  <si>
    <t>Christensen, Clayton M.</t>
  </si>
  <si>
    <t>L.J. Ganser</t>
  </si>
  <si>
    <t>="0060521996"</t>
  </si>
  <si>
    <t>="9780060521998"</t>
  </si>
  <si>
    <t>Harper Paperbacks</t>
  </si>
  <si>
    <t>business, currently-reading</t>
  </si>
  <si>
    <t>business (#13), currently-reading (#6)</t>
  </si>
  <si>
    <t>Absolutely on Music: Conversations with Seiji Ozawa</t>
  </si>
  <si>
    <t>Seiji Ozawa</t>
  </si>
  <si>
    <t>="1846559197"</t>
  </si>
  <si>
    <t>="9781846559198"</t>
  </si>
  <si>
    <t>Harvill Secker</t>
  </si>
  <si>
    <t>Future Minds: The Rise of Intelligence from the Big Bang to the End of the Universe</t>
  </si>
  <si>
    <t>Richard Yonck</t>
  </si>
  <si>
    <t>Yonck, Richard</t>
  </si>
  <si>
    <t>="1948924382"</t>
  </si>
  <si>
    <t>="9781948924382"</t>
  </si>
  <si>
    <t>Arcade</t>
  </si>
  <si>
    <t>to-read (#125)</t>
  </si>
  <si>
    <t>Stillness Is the Key</t>
  </si>
  <si>
    <t>="0525538585"</t>
  </si>
  <si>
    <t>="9780525538585"</t>
  </si>
  <si>
    <t>Business Adventures</t>
  </si>
  <si>
    <t>John Brooks</t>
  </si>
  <si>
    <t>Brooks, John</t>
  </si>
  <si>
    <t>="0575003499"</t>
  </si>
  <si>
    <t>="9780575003491"</t>
  </si>
  <si>
    <t>Littlehampton Book Services Ltd</t>
  </si>
  <si>
    <t>to-read (#124)</t>
  </si>
  <si>
    <t>How to Stop Worrying and Start Living</t>
  </si>
  <si>
    <t>Dale Carnegie</t>
  </si>
  <si>
    <t>Carnegie, Dale</t>
  </si>
  <si>
    <t>="0671035975"</t>
  </si>
  <si>
    <t>="9780671035976"</t>
  </si>
  <si>
    <t>Offline - Du wolltest nicht erreichbar sein. Jetzt sitzt du in der Falle.</t>
  </si>
  <si>
    <t>Arno Strobel</t>
  </si>
  <si>
    <t>Strobel, Arno</t>
  </si>
  <si>
    <t>="3596703948"</t>
  </si>
  <si>
    <t>="9783596703944"</t>
  </si>
  <si>
    <t>Fischer</t>
  </si>
  <si>
    <t>Board book</t>
  </si>
  <si>
    <t>Anger Management: How to Take Control of Your Emotions and Find Joy in Life</t>
  </si>
  <si>
    <t>Judy Dyer</t>
  </si>
  <si>
    <t>Dyer, Judy</t>
  </si>
  <si>
    <t>="9798620852451"</t>
  </si>
  <si>
    <t>Pristine Publishing</t>
  </si>
  <si>
    <t>Gauß: Eine Biographie</t>
  </si>
  <si>
    <t>Hubert Mania</t>
  </si>
  <si>
    <t>Mania, Hubert</t>
  </si>
  <si>
    <t>="3499625318"</t>
  </si>
  <si>
    <t>="9783499625312"</t>
  </si>
  <si>
    <t>Rowohlt</t>
  </si>
  <si>
    <t>biography, maths</t>
  </si>
  <si>
    <t>biography (#3), maths (#3)</t>
  </si>
  <si>
    <t>The Poincaré Conjecture: In Search of the Shape of the Universe</t>
  </si>
  <si>
    <t>Donal O'Shea</t>
  </si>
  <si>
    <t>O'Shea, Donal</t>
  </si>
  <si>
    <t>="080271532X"</t>
  </si>
  <si>
    <t>="9780802715326"</t>
  </si>
  <si>
    <t>Walker &amp; Company</t>
  </si>
  <si>
    <t>maths</t>
  </si>
  <si>
    <t>maths (#2)</t>
  </si>
  <si>
    <t>Isaac Newton</t>
  </si>
  <si>
    <t>="1400032954"</t>
  </si>
  <si>
    <t>="9781400032952"</t>
  </si>
  <si>
    <t>to-read (#123)</t>
  </si>
  <si>
    <t>Chaos: Making a New Science</t>
  </si>
  <si>
    <t>="0140092501"</t>
  </si>
  <si>
    <t>="9780140092509"</t>
  </si>
  <si>
    <t>Penguin Group</t>
  </si>
  <si>
    <t>The Signal and the Noise: Why So Many Predictions Fail—But Some Don't</t>
  </si>
  <si>
    <t>Nate Silver</t>
  </si>
  <si>
    <t>Silver, Nate</t>
  </si>
  <si>
    <t>="159420411X"</t>
  </si>
  <si>
    <t>="9781594204111"</t>
  </si>
  <si>
    <t>to-read (#122)</t>
  </si>
  <si>
    <t>A Man for All Markets</t>
  </si>
  <si>
    <t>Edward O. Thorp</t>
  </si>
  <si>
    <t>Thorp, Edward O.</t>
  </si>
  <si>
    <t>="1400067960"</t>
  </si>
  <si>
    <t>="9781400067961"</t>
  </si>
  <si>
    <t>to-read (#121)</t>
  </si>
  <si>
    <t>Pivot: The Only Move That Matters is Your Next One</t>
  </si>
  <si>
    <t>Jenny Blake</t>
  </si>
  <si>
    <t>Blake, Jenny</t>
  </si>
  <si>
    <t>="1591848202"</t>
  </si>
  <si>
    <t>="9781591848202"</t>
  </si>
  <si>
    <t>Portfolio/Penguin Random House</t>
  </si>
  <si>
    <t>to-read (#120)</t>
  </si>
  <si>
    <t>The Power of Discipline: How to Use Self Control and Mental Toughness to Achieve Your Goals by Daniel Walter</t>
  </si>
  <si>
    <t>Daniel Walter</t>
  </si>
  <si>
    <t>Walter, Daniel</t>
  </si>
  <si>
    <t>="9781989588345"</t>
  </si>
  <si>
    <t>Purple Cow: Transform Your Business by Being Remarkable</t>
  </si>
  <si>
    <t>="159184021X"</t>
  </si>
  <si>
    <t>="9781591840213"</t>
  </si>
  <si>
    <t>to-read (#118)</t>
  </si>
  <si>
    <t>Skin in the Game: The Hidden Asymmetries in Daily Life</t>
  </si>
  <si>
    <t>="0241300657"</t>
  </si>
  <si>
    <t>="9780241300657"</t>
  </si>
  <si>
    <t>A bit too much personal attacks (Pinker) . Sometimes the points could be made more directly. Fun to read and sometimes mind blowing. Sometimes I wanted to quit. 3.5.&lt;br/&gt;I've preferred the black swann.</t>
  </si>
  <si>
    <t>The Valkyries</t>
  </si>
  <si>
    <t>Paulo Coelho</t>
  </si>
  <si>
    <t>Coelho, Paulo</t>
  </si>
  <si>
    <t>Alan R. Clarke</t>
  </si>
  <si>
    <t>="0722533942"</t>
  </si>
  <si>
    <t>="9780722533949"</t>
  </si>
  <si>
    <t>HarperTorch (an imprint of HarperCollins Publishers)</t>
  </si>
  <si>
    <t>The Stoic Challenge: A Philosopher's Guide to Becoming Tougher, Calmer, and More Resilient</t>
  </si>
  <si>
    <t>William B. Irvine</t>
  </si>
  <si>
    <t>Irvine, William B.</t>
  </si>
  <si>
    <t>="0393652491"</t>
  </si>
  <si>
    <t>="9780393652499"</t>
  </si>
  <si>
    <t>to-read (#117)</t>
  </si>
  <si>
    <t>The President's Hat</t>
  </si>
  <si>
    <t>Antoine Laurain</t>
  </si>
  <si>
    <t>Laurain, Antoine</t>
  </si>
  <si>
    <t>="1908313471"</t>
  </si>
  <si>
    <t>="9781908313478"</t>
  </si>
  <si>
    <t>Gallic Books</t>
  </si>
  <si>
    <t>to-read (#116)</t>
  </si>
  <si>
    <t>Principles: Life and Work</t>
  </si>
  <si>
    <t>Ray Dalio</t>
  </si>
  <si>
    <t>Dalio, Ray</t>
  </si>
  <si>
    <t>Jeremy Bobb</t>
  </si>
  <si>
    <t>="1508243247"</t>
  </si>
  <si>
    <t>="9781508243243"</t>
  </si>
  <si>
    <t>Simon  Schuster Audio</t>
  </si>
  <si>
    <t>to-read (#115)</t>
  </si>
  <si>
    <t>Writing Down the Bones: Freeing the Writer Within</t>
  </si>
  <si>
    <t>Natalie Goldberg</t>
  </si>
  <si>
    <t>Goldberg, Natalie</t>
  </si>
  <si>
    <t>="1590303164"</t>
  </si>
  <si>
    <t>="9781590303160"</t>
  </si>
  <si>
    <t>Shambhala Publications</t>
  </si>
  <si>
    <t>to-read (#114)</t>
  </si>
  <si>
    <t>Awareness</t>
  </si>
  <si>
    <t>Anthony de Mello</t>
  </si>
  <si>
    <t>Mello, Anthony de</t>
  </si>
  <si>
    <t>="0006275192"</t>
  </si>
  <si>
    <t>="9780006275190"</t>
  </si>
  <si>
    <t>Zondervan</t>
  </si>
  <si>
    <t>The Man Who Counted Infinity and Other Short Stories from Science, History and Philosophy</t>
  </si>
  <si>
    <t>Sašo Dolenc</t>
  </si>
  <si>
    <t>Dolenc, Sašo</t>
  </si>
  <si>
    <t>Kvarkadabra</t>
  </si>
  <si>
    <t>How to Change Your Mind: What the New Science of Psychedelics Teaches Us About Consciousness, Dying, Addiction, Depression, and Transcendence</t>
  </si>
  <si>
    <t>Michael Pollan</t>
  </si>
  <si>
    <t>Pollan, Michael</t>
  </si>
  <si>
    <t>="0241294223"</t>
  </si>
  <si>
    <t>="9780241294222"</t>
  </si>
  <si>
    <t>to-read (#113)</t>
  </si>
  <si>
    <t>Digital Minimalism: Choosing a Focused Life in a Noisy World</t>
  </si>
  <si>
    <t>Dreaming the Beatles: The Love Story of One Band and the Whole World</t>
  </si>
  <si>
    <t>Rob Sheffield</t>
  </si>
  <si>
    <t>Sheffield, Rob</t>
  </si>
  <si>
    <t>="0062207679"</t>
  </si>
  <si>
    <t>="9780062207678"</t>
  </si>
  <si>
    <t>currently-reading (#5)</t>
  </si>
  <si>
    <t>The Da Vinci Code (Robert Langdon, #2)</t>
  </si>
  <si>
    <t>Dan Brown</t>
  </si>
  <si>
    <t>Brown, Dan</t>
  </si>
  <si>
    <t>When Nietzsche Wept</t>
  </si>
  <si>
    <t>Irvin D. Yalom</t>
  </si>
  <si>
    <t>Yalom, Irvin D.</t>
  </si>
  <si>
    <t>="0060748125"</t>
  </si>
  <si>
    <t>="9780060748128"</t>
  </si>
  <si>
    <t>to-read (#111)</t>
  </si>
  <si>
    <t>Unlocking the Customer Value Chain: How Decoupling Drives Consumer Disruption</t>
  </si>
  <si>
    <t>Thales S. Teixeira</t>
  </si>
  <si>
    <t>Teixeira, Thales S.</t>
  </si>
  <si>
    <t>Greg Piechota</t>
  </si>
  <si>
    <t>to-read (#110)</t>
  </si>
  <si>
    <t>Men Without Women</t>
  </si>
  <si>
    <t>Phillip Gabriel, Ted Goossen</t>
  </si>
  <si>
    <t>Bond Street Books</t>
  </si>
  <si>
    <t>Great short stories.</t>
  </si>
  <si>
    <t>The Inner Circle</t>
  </si>
  <si>
    <t>T. Coraghessan Boyle</t>
  </si>
  <si>
    <t>Boyle, T. Coraghessan</t>
  </si>
  <si>
    <t>="0670033448"</t>
  </si>
  <si>
    <t>="9780670033447"</t>
  </si>
  <si>
    <t>novel (#16)</t>
  </si>
  <si>
    <t>Outside Looking In</t>
  </si>
  <si>
    <t>="0062883003"</t>
  </si>
  <si>
    <t>="9780062883001"</t>
  </si>
  <si>
    <t>Ecco</t>
  </si>
  <si>
    <t>to-read (#109)</t>
  </si>
  <si>
    <t>The Great Gatsby</t>
  </si>
  <si>
    <t>F. Scott Fitzgerald</t>
  </si>
  <si>
    <t>Fitzgerald, F. Scott</t>
  </si>
  <si>
    <t>to-read (#108)</t>
  </si>
  <si>
    <t>Finally Fit: It's Never Too Late to Achieve a Dream</t>
  </si>
  <si>
    <t>John H. Clark III</t>
  </si>
  <si>
    <t>III, John H. Clark</t>
  </si>
  <si>
    <t>Resilient: How to Grow an Unshakable Core of Calm, Strength, and Happiness</t>
  </si>
  <si>
    <t>="0451498844"</t>
  </si>
  <si>
    <t>="9780451498847"</t>
  </si>
  <si>
    <t>to-read (#107)</t>
  </si>
  <si>
    <t>Die Kunst des Liebens</t>
  </si>
  <si>
    <t>="3548367844"</t>
  </si>
  <si>
    <t>="9783548367842"</t>
  </si>
  <si>
    <t>to-read (#106)</t>
  </si>
  <si>
    <t>No Self, No Problem: How Neuropsychology Is Catching Up to Buddhism</t>
  </si>
  <si>
    <t>Chris Niebauer</t>
  </si>
  <si>
    <t>Niebauer, Chris</t>
  </si>
  <si>
    <t>Hierophant Publishing</t>
  </si>
  <si>
    <t>to-read (#90)</t>
  </si>
  <si>
    <t>De la Colère (De Ira)</t>
  </si>
  <si>
    <t>Seneca</t>
  </si>
  <si>
    <t>Seneca, Seneca</t>
  </si>
  <si>
    <t>Sénèque</t>
  </si>
  <si>
    <t>Editions la Bibliothèque Digitale</t>
  </si>
  <si>
    <t>currently-reading (#4)</t>
  </si>
  <si>
    <t>The Willpower Instinct: How Self-Control Works, Why It Matters, and What You Can Do to Get More of It</t>
  </si>
  <si>
    <t>="1583334386"</t>
  </si>
  <si>
    <t>="9781583334386"</t>
  </si>
  <si>
    <t>mindfulness, self-help, happiness</t>
  </si>
  <si>
    <t>mindfulness (#21), self-help (#30), happiness (#7)</t>
  </si>
  <si>
    <t>The Way of the Superior Man: A Spiritual Guide to Mastering the Challenges of Women, Work, and Sexual Desire</t>
  </si>
  <si>
    <t>David Deida</t>
  </si>
  <si>
    <t>Deida, David</t>
  </si>
  <si>
    <t>="1591792576"</t>
  </si>
  <si>
    <t>="9781591792574"</t>
  </si>
  <si>
    <t>to-read (#105)</t>
  </si>
  <si>
    <t>How Will You Measure Your Life?</t>
  </si>
  <si>
    <t>James Allworth, Karen Dillon, Daniela Caggiati</t>
  </si>
  <si>
    <t>="0062102427"</t>
  </si>
  <si>
    <t>="9780062102423"</t>
  </si>
  <si>
    <t>to-read (#2)</t>
  </si>
  <si>
    <t>Love Yourself Like Your Life Depends on It</t>
  </si>
  <si>
    <t>Kamal Ravikant</t>
  </si>
  <si>
    <t>Ravikant, Kamal</t>
  </si>
  <si>
    <t>="1478121734"</t>
  </si>
  <si>
    <t>="9781478121732"</t>
  </si>
  <si>
    <t>CreateSpace</t>
  </si>
  <si>
    <t>to-read (#104)</t>
  </si>
  <si>
    <t>Midnight's Children</t>
  </si>
  <si>
    <t>="0099578514"</t>
  </si>
  <si>
    <t>="9780099578512"</t>
  </si>
  <si>
    <t>to-read (#103)</t>
  </si>
  <si>
    <t>="1592407331"</t>
  </si>
  <si>
    <t>="9781592407330"</t>
  </si>
  <si>
    <t>to-read (#102)</t>
  </si>
  <si>
    <t>The Gifts of Imperfection</t>
  </si>
  <si>
    <t>="159285849X"</t>
  </si>
  <si>
    <t>="9781592858491"</t>
  </si>
  <si>
    <t>Hazelden Publishing</t>
  </si>
  <si>
    <t>to-read (#101)</t>
  </si>
  <si>
    <t>Braving the Wilderness: The Quest for True Belonging and the Courage to Stand Alone</t>
  </si>
  <si>
    <t>="0812995848"</t>
  </si>
  <si>
    <t>="9780812995848"</t>
  </si>
  <si>
    <t>to-read (#100)</t>
  </si>
  <si>
    <t>How to Do Nothing: Resisting the Attention Economy</t>
  </si>
  <si>
    <t>Jenny Odell</t>
  </si>
  <si>
    <t>Odell, Jenny</t>
  </si>
  <si>
    <t>="1612197493"</t>
  </si>
  <si>
    <t>="9781612197494"</t>
  </si>
  <si>
    <t>Melville House</t>
  </si>
  <si>
    <t>to-read (#99)</t>
  </si>
  <si>
    <t>How Not to Be Wrong: The Power of Mathematical Thinking</t>
  </si>
  <si>
    <t>Jordan Ellenberg</t>
  </si>
  <si>
    <t>Ellenberg, Jordan</t>
  </si>
  <si>
    <t>="1594205221"</t>
  </si>
  <si>
    <t>="9781594205224"</t>
  </si>
  <si>
    <t>Elastic Habits: How to Create Smarter Habits That Adapt to Your Day</t>
  </si>
  <si>
    <t>Stephen Guise</t>
  </si>
  <si>
    <t>Guise, Stephen</t>
  </si>
  <si>
    <t>Selective Entertainment LLC</t>
  </si>
  <si>
    <t>to-read (#98)</t>
  </si>
  <si>
    <t>Living Forward: A Proven Plan to Stop Drifting and Get the Life You Want</t>
  </si>
  <si>
    <t>Daniel Harkavy</t>
  </si>
  <si>
    <t>to-read (#97)</t>
  </si>
  <si>
    <t>The Gift of Failure: How the Best Parents Learn to Let Go So Their Children Can Succeed</t>
  </si>
  <si>
    <t>Jessica Lahey</t>
  </si>
  <si>
    <t>Lahey, Jessica</t>
  </si>
  <si>
    <t>="0062299239"</t>
  </si>
  <si>
    <t>="9780062299239"</t>
  </si>
  <si>
    <t>to-read (#96)</t>
  </si>
  <si>
    <t>Loving What Is: Four Questions That Can Change Your Life</t>
  </si>
  <si>
    <t>Katie, Byron</t>
  </si>
  <si>
    <t>Stephen Mitchell</t>
  </si>
  <si>
    <t>="1400045371"</t>
  </si>
  <si>
    <t>="9781400045372"</t>
  </si>
  <si>
    <t>to-read (#95)</t>
  </si>
  <si>
    <t>At the Existentialist Café: Freedom, Being, and Apricot Cocktails</t>
  </si>
  <si>
    <t>Sarah Bakewell</t>
  </si>
  <si>
    <t>Bakewell, Sarah</t>
  </si>
  <si>
    <t>="0701186585"</t>
  </si>
  <si>
    <t>="9780701186586"</t>
  </si>
  <si>
    <t>Chatto &amp; Windus</t>
  </si>
  <si>
    <t>Enlightenment Now: The Case for Reason, Science, Humanism, and Progress</t>
  </si>
  <si>
    <t>="0525427570"</t>
  </si>
  <si>
    <t>="9780525427575"</t>
  </si>
  <si>
    <t>to-read (#1)</t>
  </si>
  <si>
    <t>The Achievement Habit: Stop Wishing, Start Doing, and Take Command of Your Life</t>
  </si>
  <si>
    <t>Bernard Roth</t>
  </si>
  <si>
    <t>Roth, Bernard</t>
  </si>
  <si>
    <t>="0062356100"</t>
  </si>
  <si>
    <t>="9780062356109"</t>
  </si>
  <si>
    <t>to-read (#94)</t>
  </si>
  <si>
    <t>Hustle: The Power to Charge Your Life with Money, Meaning, and Momentum</t>
  </si>
  <si>
    <t>Neil  Patel</t>
  </si>
  <si>
    <t>Patel, Neil</t>
  </si>
  <si>
    <t>Patrick Vlaskovitz, Jonas Koffler</t>
  </si>
  <si>
    <t>="1623367166"</t>
  </si>
  <si>
    <t>="9781623367169"</t>
  </si>
  <si>
    <t>Rodale Books</t>
  </si>
  <si>
    <t>to-read (#93)</t>
  </si>
  <si>
    <t>Persuadable: How Great Leaders Change Their Minds to Change the World</t>
  </si>
  <si>
    <t>Al Pittampalli</t>
  </si>
  <si>
    <t>Pittampalli, Al</t>
  </si>
  <si>
    <t>="0062333895"</t>
  </si>
  <si>
    <t>="9780062333896"</t>
  </si>
  <si>
    <t>to-read (#92)</t>
  </si>
  <si>
    <t>Extreme Productivity: Boost Your Results, Reduce Your Hours</t>
  </si>
  <si>
    <t>Robert C. Pozen</t>
  </si>
  <si>
    <t>Pozen, Robert C.</t>
  </si>
  <si>
    <t>="0062188542"</t>
  </si>
  <si>
    <t>="9780062188540"</t>
  </si>
  <si>
    <t>to-read (#91)</t>
  </si>
  <si>
    <t>The Personal MBA: Master the Art of Business</t>
  </si>
  <si>
    <t>Josh Kaufman</t>
  </si>
  <si>
    <t>Kaufman, Josh</t>
  </si>
  <si>
    <t>="1591845572"</t>
  </si>
  <si>
    <t>="9781591845577"</t>
  </si>
  <si>
    <t>to-read (#89)</t>
  </si>
  <si>
    <t>The Tipping Point: How Little Things Can Make a Big Difference</t>
  </si>
  <si>
    <t>Malcolm Gladwell</t>
  </si>
  <si>
    <t>Gladwell, Malcolm</t>
  </si>
  <si>
    <t>="0349113467"</t>
  </si>
  <si>
    <t>="9780349113463"</t>
  </si>
  <si>
    <t>Abacus</t>
  </si>
  <si>
    <t>Das Kind in dir muss Heimat finden: Der Schlüssel zur Lösung (fast) aller Probleme</t>
  </si>
  <si>
    <t>Stefanie Stahl</t>
  </si>
  <si>
    <t>Stahl, Stefanie</t>
  </si>
  <si>
    <t>="3424631078"</t>
  </si>
  <si>
    <t>="9783424631074"</t>
  </si>
  <si>
    <t xml:space="preserve">Kailash </t>
  </si>
  <si>
    <t>currently-reading (#3)</t>
  </si>
  <si>
    <t>Measure What Matters</t>
  </si>
  <si>
    <t>John Doerr</t>
  </si>
  <si>
    <t>Doerr, John</t>
  </si>
  <si>
    <t>to-read (#88)</t>
  </si>
  <si>
    <t>Everybody Lies: Big Data, New Data, and What the Internet Can Tell Us About Who We Really Are</t>
  </si>
  <si>
    <t>Seth Stephens-Davidowitz</t>
  </si>
  <si>
    <t>Stephens-Davidowitz, Seth</t>
  </si>
  <si>
    <t>="0062390856"</t>
  </si>
  <si>
    <t>="9780062390851"</t>
  </si>
  <si>
    <t>How Google Works</t>
  </si>
  <si>
    <t>Eric Schmidt</t>
  </si>
  <si>
    <t>Schmidt, Eric</t>
  </si>
  <si>
    <t>Jonathan Rosenberg</t>
  </si>
  <si>
    <t>Factfulness: Ten Reasons We're Wrong About the World – and Why Things Are Better Than You Think</t>
  </si>
  <si>
    <t>Hans Rosling</t>
  </si>
  <si>
    <t>Rosling, Hans</t>
  </si>
  <si>
    <t>Ola Rosling, Anna Rosling Rönnlund</t>
  </si>
  <si>
    <t>="1473637465"</t>
  </si>
  <si>
    <t>="9781473637467"</t>
  </si>
  <si>
    <t>Sceptre</t>
  </si>
  <si>
    <t>Draft No. 4: On the Writing Process</t>
  </si>
  <si>
    <t>John McPhee</t>
  </si>
  <si>
    <t>McPhee, John</t>
  </si>
  <si>
    <t>The New Yorker</t>
  </si>
  <si>
    <t>to-read (#87)</t>
  </si>
  <si>
    <t>Essentialism: The Disciplined Pursuit of Less</t>
  </si>
  <si>
    <t>="0804137382"</t>
  </si>
  <si>
    <t>="9780804137386"</t>
  </si>
  <si>
    <t>management, productivity, self-help</t>
  </si>
  <si>
    <t>management (#4), productivity (#2), self-help (#29)</t>
  </si>
  <si>
    <t>Barking Up the Wrong Tree: The Surprising Science Behind Why Everything You Know About Success Is (Mostly) Wrong</t>
  </si>
  <si>
    <t>="0062416170"</t>
  </si>
  <si>
    <t>="9780062416179"</t>
  </si>
  <si>
    <t>management (#3), productivity (#1), self-help (#28)</t>
  </si>
  <si>
    <t>Great!</t>
  </si>
  <si>
    <t>How to Talk So Kids Will Listen &amp; Listen So Kids Will Talk</t>
  </si>
  <si>
    <t>Adele Faber</t>
  </si>
  <si>
    <t>Faber, Adele</t>
  </si>
  <si>
    <t>Elaine Mazlish, Kimberly Ann Coe</t>
  </si>
  <si>
    <t>="0380811960"</t>
  </si>
  <si>
    <t>="9780380811960"</t>
  </si>
  <si>
    <t>Collins Living</t>
  </si>
  <si>
    <t>parenting</t>
  </si>
  <si>
    <t>parenting (#3)</t>
  </si>
  <si>
    <t>The Joy of x: A Guided Tour of Math, from One to Infinity</t>
  </si>
  <si>
    <t>="0547517653"</t>
  </si>
  <si>
    <t>="9780547517650"</t>
  </si>
  <si>
    <t>Eamon Dolan/Houghton Mifflin Harcourt</t>
  </si>
  <si>
    <t>maths (#1)</t>
  </si>
  <si>
    <t>Basics maths. Nice quick read.</t>
  </si>
  <si>
    <t>Peaceful Parent, Happy Kids: How to Stop Yelling and Start Connecting</t>
  </si>
  <si>
    <t>Laura Markham</t>
  </si>
  <si>
    <t>Markham, Laura</t>
  </si>
  <si>
    <t>="0399160280"</t>
  </si>
  <si>
    <t>="9780399160288"</t>
  </si>
  <si>
    <t>Perigee</t>
  </si>
  <si>
    <t>parenting (#2)</t>
  </si>
  <si>
    <t>The Conscious Parent: Transforming Ourselves, Empowering Our Children</t>
  </si>
  <si>
    <t>Shefali Tsabary</t>
  </si>
  <si>
    <t>Tsabary, Shefali</t>
  </si>
  <si>
    <t>="1897238452"</t>
  </si>
  <si>
    <t>="9781897238455"</t>
  </si>
  <si>
    <t>Namaste Publishing</t>
  </si>
  <si>
    <t>mindfulness, self-help, parenting</t>
  </si>
  <si>
    <t>mindfulness (#19), self-help (#27), parenting (#1)</t>
  </si>
  <si>
    <t>Autobiography of a Yogi</t>
  </si>
  <si>
    <t>Paramahansa Yogananda</t>
  </si>
  <si>
    <t>Yogananda, Paramahansa</t>
  </si>
  <si>
    <t>="0876120834"</t>
  </si>
  <si>
    <t>="9780876120835"</t>
  </si>
  <si>
    <t>Self-Realization Fellowship Publishers</t>
  </si>
  <si>
    <t>currently-reading (#2)</t>
  </si>
  <si>
    <t>The Life-Changing Magic of Tidying Up: The Japanese Art of Decluttering and Organizing</t>
  </si>
  <si>
    <t>Marie Kondō</t>
  </si>
  <si>
    <t>Kondō, Marie</t>
  </si>
  <si>
    <t>Cathy Hirano</t>
  </si>
  <si>
    <t>="1607747308"</t>
  </si>
  <si>
    <t>="9781607747307"</t>
  </si>
  <si>
    <t>to-read (#86)</t>
  </si>
  <si>
    <t>Mastery</t>
  </si>
  <si>
    <t>Robert Greene</t>
  </si>
  <si>
    <t>Greene, Robert</t>
  </si>
  <si>
    <t>="0670024961"</t>
  </si>
  <si>
    <t>="9780670024964"</t>
  </si>
  <si>
    <t>to-read (#85)</t>
  </si>
  <si>
    <t>The Happiness Project: Or Why I Spent a Year Trying to Sing in the Morning, Clean My Closets, Fight Right, Read Aristotle, and Generally Have More Fun</t>
  </si>
  <si>
    <t>Gretchen Rubin</t>
  </si>
  <si>
    <t>Rubin, Gretchen</t>
  </si>
  <si>
    <t>="0061583251"</t>
  </si>
  <si>
    <t>="9780061583254"</t>
  </si>
  <si>
    <t>to-read (#84)</t>
  </si>
  <si>
    <t>The Art of Happiness</t>
  </si>
  <si>
    <t>XIV, Dalai Lama</t>
  </si>
  <si>
    <t>Howard C. Cutler</t>
  </si>
  <si>
    <t>="1573221112"</t>
  </si>
  <si>
    <t>="9781573221115"</t>
  </si>
  <si>
    <t>Riverhead Hardcover</t>
  </si>
  <si>
    <t>to-read (#83)</t>
  </si>
  <si>
    <t>Running Lean: Iterate from Plan A to a Plan That Works</t>
  </si>
  <si>
    <t>Ash Maurya</t>
  </si>
  <si>
    <t>Maurya, Ash</t>
  </si>
  <si>
    <t>="1449305172"</t>
  </si>
  <si>
    <t>="9781449305178"</t>
  </si>
  <si>
    <t>O'Reilly Media</t>
  </si>
  <si>
    <t>to-read (#82)</t>
  </si>
  <si>
    <t>Getting Things Done: The Art of Stress-Free Productivity</t>
  </si>
  <si>
    <t>David    Allen</t>
  </si>
  <si>
    <t>Allen, David</t>
  </si>
  <si>
    <t>="0142000280"</t>
  </si>
  <si>
    <t>="9780142000281"</t>
  </si>
  <si>
    <t>to-read (#71)</t>
  </si>
  <si>
    <t>Peak: Secrets from the New Science of Expertise</t>
  </si>
  <si>
    <t>K. Anders Ericsson</t>
  </si>
  <si>
    <t>Ericsson, K. Anders</t>
  </si>
  <si>
    <t>Robert Pool</t>
  </si>
  <si>
    <t>="0544456254"</t>
  </si>
  <si>
    <t>="9780544456259"</t>
  </si>
  <si>
    <t>to-read (#81)</t>
  </si>
  <si>
    <t>English Grammar: 100 Tragically Common Mistakes (and How to Correct Them)</t>
  </si>
  <si>
    <t>Sean    Williams</t>
  </si>
  <si>
    <t>Williams, Sean</t>
  </si>
  <si>
    <t>="1641523735"</t>
  </si>
  <si>
    <t>="9781641523738"</t>
  </si>
  <si>
    <t>Zephyros Press</t>
  </si>
  <si>
    <t>Pasta blanda</t>
  </si>
  <si>
    <t>Originals: How Non-Conformists Move the World</t>
  </si>
  <si>
    <t>="0525429565"</t>
  </si>
  <si>
    <t>="9780525429562"</t>
  </si>
  <si>
    <t>to-read (#80)</t>
  </si>
  <si>
    <t>The Little Book of Being: Practices and Guidance for Uncovering Your Natural Awareness</t>
  </si>
  <si>
    <t>Diana Winston</t>
  </si>
  <si>
    <t>Winston, Diana</t>
  </si>
  <si>
    <t>="1683642171"</t>
  </si>
  <si>
    <t>="9781683642176"</t>
  </si>
  <si>
    <t>to-read (#79)</t>
  </si>
  <si>
    <t>Le mythe de Sisyphe</t>
  </si>
  <si>
    <t>Albert Camus</t>
  </si>
  <si>
    <t>Camus, Albert</t>
  </si>
  <si>
    <t>GALLIMARD</t>
  </si>
  <si>
    <t>essai</t>
  </si>
  <si>
    <t>essai (#1)</t>
  </si>
  <si>
    <t>Practical Insight Meditations: Basic and Progressive Stages</t>
  </si>
  <si>
    <t>Mahasi Sayadaw</t>
  </si>
  <si>
    <t>Sayadaw, Mahasi</t>
  </si>
  <si>
    <t>="9552400899"</t>
  </si>
  <si>
    <t>="9789552400896"</t>
  </si>
  <si>
    <t>Buddhist Publication Society</t>
  </si>
  <si>
    <t>to-read (#78)</t>
  </si>
  <si>
    <t>Madrigals Magic Key to Spanish</t>
  </si>
  <si>
    <t>Margarita Madrigal</t>
  </si>
  <si>
    <t>Madrigal, Margarita</t>
  </si>
  <si>
    <t>to-read (#77)</t>
  </si>
  <si>
    <t>Proust Was a Neuroscientist</t>
  </si>
  <si>
    <t>Jonah Lehrer</t>
  </si>
  <si>
    <t>Lehrer, Jonah</t>
  </si>
  <si>
    <t>to-read (#76)</t>
  </si>
  <si>
    <t>The Wise Heart: A Guide to the Universal Teachings of Buddhist Psychology</t>
  </si>
  <si>
    <t>to-read (#75)</t>
  </si>
  <si>
    <t>Give and Take: A Revolutionary Approach to Success</t>
  </si>
  <si>
    <t>="0670026557"</t>
  </si>
  <si>
    <t>="9780670026555"</t>
  </si>
  <si>
    <t>Kopfschmerzkinder: Was Eltern, Lehrer und Therapeuten tun können (Fachratgeber Klett-Cotta)</t>
  </si>
  <si>
    <t>Hanne Seemann</t>
  </si>
  <si>
    <t>Seemann, Hanne</t>
  </si>
  <si>
    <t>Klett-Cotta</t>
  </si>
  <si>
    <t>The Dalai Lama's Little Book of Inner Peace: The Essential Life and Teachings</t>
  </si>
  <si>
    <t>Hampton Roads Publishing</t>
  </si>
  <si>
    <t>to-read (#74)</t>
  </si>
  <si>
    <t>Getting Real: The Smarter, Faster, Easier Way to Build a Web Application</t>
  </si>
  <si>
    <t>37 Signals</t>
  </si>
  <si>
    <t>Signals, 37</t>
  </si>
  <si>
    <t>Self</t>
  </si>
  <si>
    <t>business (#15)</t>
  </si>
  <si>
    <t>The Art of Instigating</t>
  </si>
  <si>
    <t>Tom Morkes</t>
  </si>
  <si>
    <t>Morkes, Tom</t>
  </si>
  <si>
    <t>entrepreneur, to-read</t>
  </si>
  <si>
    <t>entrepreneur (#6), to-read (#73)</t>
  </si>
  <si>
    <t>Sprint: How to Solve Big Problems and Test New Ideas in Just Five Days</t>
  </si>
  <si>
    <t>Jake Knapp</t>
  </si>
  <si>
    <t>Knapp, Jake</t>
  </si>
  <si>
    <t>John Zeratsky, Brad Kowitz</t>
  </si>
  <si>
    <t>="9781501121746"</t>
  </si>
  <si>
    <t>Buddhist Boot Camp</t>
  </si>
  <si>
    <t>Timber Hawkeye</t>
  </si>
  <si>
    <t>Hawkeye, Timber</t>
  </si>
  <si>
    <t>="0062267434"</t>
  </si>
  <si>
    <t>="9780062267436"</t>
  </si>
  <si>
    <t>The 80/20 Principle: The Secret to Achieving More with Less</t>
  </si>
  <si>
    <t>Richard Koch</t>
  </si>
  <si>
    <t>Koch, Richard</t>
  </si>
  <si>
    <t>="0385491743"</t>
  </si>
  <si>
    <t>="9780385491747"</t>
  </si>
  <si>
    <t>The Shadow Effect: Illuminating the Hidden Power of Your True Self</t>
  </si>
  <si>
    <t>Deepak Chopra</t>
  </si>
  <si>
    <t>Chopra, Deepak</t>
  </si>
  <si>
    <t>Marianne Williamson, Debbie Ford</t>
  </si>
  <si>
    <t>to-read (#72)</t>
  </si>
  <si>
    <t>Superforecasting: The Art and Science of Prediction</t>
  </si>
  <si>
    <t>Philip E. Tetlock</t>
  </si>
  <si>
    <t>Tetlock, Philip E.</t>
  </si>
  <si>
    <t>Dan Gardner</t>
  </si>
  <si>
    <t>="0804136696"</t>
  </si>
  <si>
    <t>="9780804136693"</t>
  </si>
  <si>
    <t>Crown</t>
  </si>
  <si>
    <t>to-read (#70)</t>
  </si>
  <si>
    <t>Wait, What?: And Life's Other Essential Questions</t>
  </si>
  <si>
    <t>James E. Ryan</t>
  </si>
  <si>
    <t>Ryan, James E.</t>
  </si>
  <si>
    <t>="006266476X"</t>
  </si>
  <si>
    <t>="9780062664761"</t>
  </si>
  <si>
    <t>to-read (#69)</t>
  </si>
  <si>
    <t>Quiet: The Power of Introverts in a World That Can't Stop Talking</t>
  </si>
  <si>
    <t>="0307352145"</t>
  </si>
  <si>
    <t>="9780307352149"</t>
  </si>
  <si>
    <t>Crown Publishing Group/Random House, Inc.</t>
  </si>
  <si>
    <t>to-read (#68)</t>
  </si>
  <si>
    <t>Zero to One: Notes on Startups, or How to Build the Future</t>
  </si>
  <si>
    <t>Peter Thiel</t>
  </si>
  <si>
    <t>Thiel, Peter</t>
  </si>
  <si>
    <t>Blake  Masters</t>
  </si>
  <si>
    <t>="0804139296"</t>
  </si>
  <si>
    <t>="9780804139298"</t>
  </si>
  <si>
    <t>to-read (#67)</t>
  </si>
  <si>
    <t>The Upside of Stress: Why Stress Is Good for You, and How to Get Good at It</t>
  </si>
  <si>
    <t>="1101982934"</t>
  </si>
  <si>
    <t>="9781101982938"</t>
  </si>
  <si>
    <t>to-read (#66)</t>
  </si>
  <si>
    <t>Geons, Black Holes and Quantum Foam: A Life in Physics</t>
  </si>
  <si>
    <t>John Archibald Wheeler</t>
  </si>
  <si>
    <t>Wheeler, John Archibald</t>
  </si>
  <si>
    <t>Kenneth W. Ford</t>
  </si>
  <si>
    <t>="0393319911"</t>
  </si>
  <si>
    <t>="9780393319910"</t>
  </si>
  <si>
    <t>Norton &amp; Company</t>
  </si>
  <si>
    <t>to-read (#65)</t>
  </si>
  <si>
    <t>When: The Scientific Secrets of Perfect Timing</t>
  </si>
  <si>
    <t>="0735210624"</t>
  </si>
  <si>
    <t>="9780735210622"</t>
  </si>
  <si>
    <t>The Art of Thinking Clearly</t>
  </si>
  <si>
    <t>Rolf Dobelli</t>
  </si>
  <si>
    <t>Dobelli, Rolf</t>
  </si>
  <si>
    <t>="0062219685"</t>
  </si>
  <si>
    <t>="9780062219688"</t>
  </si>
  <si>
    <t>The Book of Joy: Lasting Happiness in a Changing World</t>
  </si>
  <si>
    <t>Desmond Tutu, Douglas Carlton Abrams</t>
  </si>
  <si>
    <t>="0399185046"</t>
  </si>
  <si>
    <t>="9780399185045"</t>
  </si>
  <si>
    <t>The Formula: The Universal Laws of Success</t>
  </si>
  <si>
    <t>Albert-László Barabási</t>
  </si>
  <si>
    <t>Barabási, Albert-László</t>
  </si>
  <si>
    <t>="0316505498"</t>
  </si>
  <si>
    <t>="9780316505499"</t>
  </si>
  <si>
    <t>to-read (#64)</t>
  </si>
  <si>
    <t>Les Mots</t>
  </si>
  <si>
    <t>Jean-Paul Sartre</t>
  </si>
  <si>
    <t>Sartre, Jean-Paul</t>
  </si>
  <si>
    <t>="2070366073"</t>
  </si>
  <si>
    <t>="9782070366071"</t>
  </si>
  <si>
    <t>biography</t>
  </si>
  <si>
    <t>biography (#2)</t>
  </si>
  <si>
    <t>L'Extase Materielle</t>
  </si>
  <si>
    <t>J.M.G. Le Clézio</t>
  </si>
  <si>
    <t>Clézio, J.M.G. Le</t>
  </si>
  <si>
    <t>="2070327450"</t>
  </si>
  <si>
    <t>="9782070327454"</t>
  </si>
  <si>
    <t>essai (#3)</t>
  </si>
  <si>
    <t>Propos sur le bonheur</t>
  </si>
  <si>
    <t>Alain</t>
  </si>
  <si>
    <t>Alain, Alain</t>
  </si>
  <si>
    <t>essai (#2)</t>
  </si>
  <si>
    <t>The Laws of Human Nature: Robert Greene</t>
  </si>
  <si>
    <t>Profile Books</t>
  </si>
  <si>
    <t>Complete Works of Arthur Conan Doyle</t>
  </si>
  <si>
    <t>The Lord of the Rings</t>
  </si>
  <si>
    <t>J.R.R. Tolkien</t>
  </si>
  <si>
    <t>Tolkien, J.R.R.</t>
  </si>
  <si>
    <t>Le Meilleur des mondes</t>
  </si>
  <si>
    <t>Aldous Huxley</t>
  </si>
  <si>
    <t>Huxley, Aldous</t>
  </si>
  <si>
    <t>Jules Castier</t>
  </si>
  <si>
    <t>="2266128566"</t>
  </si>
  <si>
    <t>="9782266128568"</t>
  </si>
  <si>
    <t>Pocket</t>
  </si>
  <si>
    <t>Les Thibault I: Le Cahier Gris; Le Penitencier; La Belle Saison</t>
  </si>
  <si>
    <t>Roger Martin du Gard</t>
  </si>
  <si>
    <t>Gard, Roger Martin du</t>
  </si>
  <si>
    <t>Qu'est-ce que la littérature</t>
  </si>
  <si>
    <t>="2070323064"</t>
  </si>
  <si>
    <t>="9782070323067"</t>
  </si>
  <si>
    <t>Les Mains sales</t>
  </si>
  <si>
    <t>="2070368068"</t>
  </si>
  <si>
    <t>="9782070368068"</t>
  </si>
  <si>
    <t>La nausée</t>
  </si>
  <si>
    <t>Le Procès-verbal</t>
  </si>
  <si>
    <t>="2070363538"</t>
  </si>
  <si>
    <t>="9782070363537"</t>
  </si>
  <si>
    <t>Mondo et autres histoires</t>
  </si>
  <si>
    <t>="2070373657"</t>
  </si>
  <si>
    <t>="9782070373659"</t>
  </si>
  <si>
    <t>Editions Gallimard</t>
  </si>
  <si>
    <t>Nord</t>
  </si>
  <si>
    <t>Louis-Ferdinand Céline</t>
  </si>
  <si>
    <t>Céline, Louis-Ferdinand</t>
  </si>
  <si>
    <t>="2070368513"</t>
  </si>
  <si>
    <t>="9782070368518"</t>
  </si>
  <si>
    <t>Voyage au bout de la nuit</t>
  </si>
  <si>
    <t>="2070360288"</t>
  </si>
  <si>
    <t>="9782070360284"</t>
  </si>
  <si>
    <t>L'Ecriture et "L'Expérience des limites"</t>
  </si>
  <si>
    <t>Philippe Sollers</t>
  </si>
  <si>
    <t>Sollers, Philippe</t>
  </si>
  <si>
    <t>="2020005999"</t>
  </si>
  <si>
    <t>="9782020005999"</t>
  </si>
  <si>
    <t>Seuil</t>
  </si>
  <si>
    <t>Les Gommes</t>
  </si>
  <si>
    <t>Alain Robbe-Grillet</t>
  </si>
  <si>
    <t>Robbe-Grillet, Alain</t>
  </si>
  <si>
    <t>="2707302562"</t>
  </si>
  <si>
    <t>="9782707302564"</t>
  </si>
  <si>
    <t>Editions de Minuit</t>
  </si>
  <si>
    <t>La valse aux adieux</t>
  </si>
  <si>
    <t>Milan Kundera</t>
  </si>
  <si>
    <t>Kundera, Milan</t>
  </si>
  <si>
    <t>="2070370437"</t>
  </si>
  <si>
    <t>="9782070370436"</t>
  </si>
  <si>
    <t xml:space="preserve">Editions Gallimard </t>
  </si>
  <si>
    <t>À la recherche du temps perdu</t>
  </si>
  <si>
    <t>Marcel Proust</t>
  </si>
  <si>
    <t>Proust, Marcel</t>
  </si>
  <si>
    <t>="2070754928"</t>
  </si>
  <si>
    <t>="9782070754922"</t>
  </si>
  <si>
    <t>How Proust Can Change Your Life</t>
  </si>
  <si>
    <t>="0679779159"</t>
  </si>
  <si>
    <t>="9780679779155"</t>
  </si>
  <si>
    <t>to-read (#63)</t>
  </si>
  <si>
    <t>Das Urteil und andere Erzählungen</t>
  </si>
  <si>
    <t>Franz Kafka</t>
  </si>
  <si>
    <t>Kafka, Franz</t>
  </si>
  <si>
    <t>="3596200199"</t>
  </si>
  <si>
    <t>="9783596200191"</t>
  </si>
  <si>
    <t>Das Schloß</t>
  </si>
  <si>
    <t>="3866471068"</t>
  </si>
  <si>
    <t>="9783866471061"</t>
  </si>
  <si>
    <t xml:space="preserve">Anaconda </t>
  </si>
  <si>
    <t>Der Prozess</t>
  </si>
  <si>
    <t>="3938484772"</t>
  </si>
  <si>
    <t>="9783938484777"</t>
  </si>
  <si>
    <t>Anaconda</t>
  </si>
  <si>
    <t>Les illusions perdues de Balzac</t>
  </si>
  <si>
    <t>Jose Luis Diaz</t>
  </si>
  <si>
    <t>Diaz, Jose Luis</t>
  </si>
  <si>
    <t>="9782070401697"</t>
  </si>
  <si>
    <t>Honoré De Balzac, La Peau De Chagrin</t>
  </si>
  <si>
    <t>Michel Pougeoise</t>
  </si>
  <si>
    <t>Pougeoise, Michel</t>
  </si>
  <si>
    <t>="284291578X"</t>
  </si>
  <si>
    <t>="9782842915780"</t>
  </si>
  <si>
    <t>Le Lys dans la vallée</t>
  </si>
  <si>
    <t>Vahdet Gültekin</t>
  </si>
  <si>
    <t>="2070361128"</t>
  </si>
  <si>
    <t>="9782070361120"</t>
  </si>
  <si>
    <t>Fluent Forever: How to Learn Any Language Fast and Never Forget It</t>
  </si>
  <si>
    <t>Gabriel Wyner</t>
  </si>
  <si>
    <t>Wyner, Gabriel</t>
  </si>
  <si>
    <t>to-read (#62)</t>
  </si>
  <si>
    <t>Killing Commendatore</t>
  </si>
  <si>
    <t>Philip Gabriel, Ted Goossen</t>
  </si>
  <si>
    <t>="052552004X"</t>
  </si>
  <si>
    <t>="9780525520047"</t>
  </si>
  <si>
    <t>novel (#15)</t>
  </si>
  <si>
    <t>The Subtle Art of Not Giving a F*ck: A Counterintuitive Approach to Living a Good Life</t>
  </si>
  <si>
    <t>What I Talk About When I Talk About Running</t>
  </si>
  <si>
    <t>="0307269191"</t>
  </si>
  <si>
    <t>="9780307269195"</t>
  </si>
  <si>
    <t>Moonwalking with Einstein: The Art and Science of Remembering Everything</t>
  </si>
  <si>
    <t>Joshua Foer</t>
  </si>
  <si>
    <t>Foer, Joshua</t>
  </si>
  <si>
    <t>="159420229X"</t>
  </si>
  <si>
    <t>="9781594202292"</t>
  </si>
  <si>
    <t>Penguin Press HC, The</t>
  </si>
  <si>
    <t>Atomic Habits: An Easy &amp; Proven Way to Build Good Habits &amp; Break Bad Ones</t>
  </si>
  <si>
    <t>James Clear</t>
  </si>
  <si>
    <t>Clear, James</t>
  </si>
  <si>
    <t>True Refuge: Finding Peace and Freedom in Your Own Awakened Heart</t>
  </si>
  <si>
    <t>Tara Brach</t>
  </si>
  <si>
    <t>Brach, Tara</t>
  </si>
  <si>
    <t xml:space="preserve">Bantam </t>
  </si>
  <si>
    <t>happiness, mindfulness</t>
  </si>
  <si>
    <t>happiness (#6), mindfulness (#18)</t>
  </si>
  <si>
    <t>The Startup of You: Adapt to the Future, Invest in Yourself, and Transform Your Career</t>
  </si>
  <si>
    <t>Reid Hoffman</t>
  </si>
  <si>
    <t>Hoffman, Reid</t>
  </si>
  <si>
    <t>Ben Casnocha</t>
  </si>
  <si>
    <t>Who Moved My Cheese?</t>
  </si>
  <si>
    <t>Spencer Johnson</t>
  </si>
  <si>
    <t>Johnson, Spencer</t>
  </si>
  <si>
    <t>Kenneth H. Blanchard</t>
  </si>
  <si>
    <t>="0091883768"</t>
  </si>
  <si>
    <t>="9780091883768"</t>
  </si>
  <si>
    <t>Vermilion</t>
  </si>
  <si>
    <t>Feynman's Rainbow: A Search for Beauty in Physics and in Life</t>
  </si>
  <si>
    <t>Leonard Mlodinow</t>
  </si>
  <si>
    <t>Mlodinow, Leonard</t>
  </si>
  <si>
    <t>="0446692514"</t>
  </si>
  <si>
    <t>="9780446692519"</t>
  </si>
  <si>
    <t>Perfectly Reasonable Deviations from the Beaten Track: Letters of Richard P. Feynman</t>
  </si>
  <si>
    <t>Michelle Feynman</t>
  </si>
  <si>
    <t>="0738206369"</t>
  </si>
  <si>
    <t>="9780738206363"</t>
  </si>
  <si>
    <t>cloth</t>
  </si>
  <si>
    <t>to-read (#61)</t>
  </si>
  <si>
    <t>Herrigel, Eugen</t>
  </si>
  <si>
    <t>R.F.C. Hull, D.T. Suzuki</t>
  </si>
  <si>
    <t>="0375705090"</t>
  </si>
  <si>
    <t>="9780375705090"</t>
  </si>
  <si>
    <t>to-read (#60)</t>
  </si>
  <si>
    <t>On Literature</t>
  </si>
  <si>
    <t>Umberto Eco</t>
  </si>
  <si>
    <t>Eco, Umberto</t>
  </si>
  <si>
    <t>Martin L. McLaughlin</t>
  </si>
  <si>
    <t>="0156032392"</t>
  </si>
  <si>
    <t>="9780156032391"</t>
  </si>
  <si>
    <t>to-read (#59)</t>
  </si>
  <si>
    <t>Happier: Learn the Secrets to Daily Joy and Lasting Fulfillment</t>
  </si>
  <si>
    <t>Tal Ben-Shahar</t>
  </si>
  <si>
    <t>Ben-Shahar, Tal</t>
  </si>
  <si>
    <t>="0071492399"</t>
  </si>
  <si>
    <t>="9780071492393"</t>
  </si>
  <si>
    <t>McGraw-Hill Companies</t>
  </si>
  <si>
    <t>to-read (#57)</t>
  </si>
  <si>
    <t>The Art of Learning: A Journey in the Pursuit of Excellence</t>
  </si>
  <si>
    <t>Josh Waitzkin</t>
  </si>
  <si>
    <t>Waitzkin, Josh</t>
  </si>
  <si>
    <t>="0743277457"</t>
  </si>
  <si>
    <t>="9780743277457"</t>
  </si>
  <si>
    <t>to-read (#56)</t>
  </si>
  <si>
    <t>The Infinite Game</t>
  </si>
  <si>
    <t>="073521350X"</t>
  </si>
  <si>
    <t>="9780735213500"</t>
  </si>
  <si>
    <t>to-read (#3)</t>
  </si>
  <si>
    <t>Blue Ocean Strategy: How to Create Uncontested Market Space and Make the Competition Irrelevant</t>
  </si>
  <si>
    <t>W. Chan Kim</t>
  </si>
  <si>
    <t>Kim, W. Chan</t>
  </si>
  <si>
    <t>Renée Mauborgne</t>
  </si>
  <si>
    <t>="1591396190"</t>
  </si>
  <si>
    <t>="9781591396192"</t>
  </si>
  <si>
    <t>Harvard Business Review Press</t>
  </si>
  <si>
    <t>business, management, to-read</t>
  </si>
  <si>
    <t>business (#18), management (#2), to-read (#55)</t>
  </si>
  <si>
    <t>Model-Based Testing Essentials - Guide to the Istqb Certified Model-Based Tester: Foundation Level</t>
  </si>
  <si>
    <t>Anne Krammer</t>
  </si>
  <si>
    <t>Krammer, Anne</t>
  </si>
  <si>
    <t>Bruno Legeard</t>
  </si>
  <si>
    <t>="1119130018"</t>
  </si>
  <si>
    <t>="9781119130017"</t>
  </si>
  <si>
    <t>to-read (#54)</t>
  </si>
  <si>
    <t>A New Earth: Awakening to Your Life's Purpose</t>
  </si>
  <si>
    <t>="0452287588"</t>
  </si>
  <si>
    <t>="9780452287587"</t>
  </si>
  <si>
    <t>Zen and the Art of Motorcycle Maintenance: An Inquiry Into Values (Phaedrus, #1)</t>
  </si>
  <si>
    <t>Robert M. Pirsig</t>
  </si>
  <si>
    <t>Pirsig, Robert M.</t>
  </si>
  <si>
    <t>="0060589469"</t>
  </si>
  <si>
    <t>="9780060589462"</t>
  </si>
  <si>
    <t>HarperTorch</t>
  </si>
  <si>
    <t>to-read (#15)</t>
  </si>
  <si>
    <t>Real Love: The Art of Mindful Connection</t>
  </si>
  <si>
    <t>="1250076501"</t>
  </si>
  <si>
    <t>="9781250076502"</t>
  </si>
  <si>
    <t>to-read (#53)</t>
  </si>
  <si>
    <t>Continuous Delivery: Reliable Software Releases Through Build, Test, and Deployment Automation</t>
  </si>
  <si>
    <t>Jez Humble</t>
  </si>
  <si>
    <t>Humble, Jez</t>
  </si>
  <si>
    <t>David  Farley</t>
  </si>
  <si>
    <t>="0321601912"</t>
  </si>
  <si>
    <t>="9780321601919"</t>
  </si>
  <si>
    <t>Addison-Wesley Professional</t>
  </si>
  <si>
    <t>agile, to-read</t>
  </si>
  <si>
    <t>agile (#14), to-read (#52)</t>
  </si>
  <si>
    <t>Business Model Generation: A Handbook for Visionaries, Game Changers, and Challengers</t>
  </si>
  <si>
    <t>Yves Pigneur, Alan Smith</t>
  </si>
  <si>
    <t>="0470876417"</t>
  </si>
  <si>
    <t>="9780470876411"</t>
  </si>
  <si>
    <t>business, start-up, to-read</t>
  </si>
  <si>
    <t>business (#14), start-up (#3), to-read (#51)</t>
  </si>
  <si>
    <t>Atlas Shrugged</t>
  </si>
  <si>
    <t>Ayn Rand</t>
  </si>
  <si>
    <t>Rand, Ayn</t>
  </si>
  <si>
    <t>="0451191145"</t>
  </si>
  <si>
    <t>="9780451191144"</t>
  </si>
  <si>
    <t>Signet</t>
  </si>
  <si>
    <t>to-read, novel, fiction</t>
  </si>
  <si>
    <t>to-read (#50), novel (#17), fiction (#1)</t>
  </si>
  <si>
    <t>Siddhartha</t>
  </si>
  <si>
    <t>Hermann Hesse</t>
  </si>
  <si>
    <t>Hesse, Hermann</t>
  </si>
  <si>
    <t>Hilda Rosner, Zigmantas Ardickas</t>
  </si>
  <si>
    <t>Bantam Books</t>
  </si>
  <si>
    <t>Losing My Virginity: How I've Survived, Had Fun, and Made a Fortune Doing Business My Way</t>
  </si>
  <si>
    <t>Richard Branson</t>
  </si>
  <si>
    <t>Branson, Richard</t>
  </si>
  <si>
    <t>="0812932293"</t>
  </si>
  <si>
    <t>="9780812932294"</t>
  </si>
  <si>
    <t>entrepreneur, biography</t>
  </si>
  <si>
    <t>entrepreneur (#11), biography (#1)</t>
  </si>
  <si>
    <t>Buddha: A Story of Enlightenment</t>
  </si>
  <si>
    <t>="0060878800"</t>
  </si>
  <si>
    <t>="9780060878801"</t>
  </si>
  <si>
    <t>The Dialectical Behavior Therapy Skills Workbook for Anger: Using DBT Mindfulness and Emotion Regulation Skills to Manage Anger</t>
  </si>
  <si>
    <t>Alexander L. Chapman</t>
  </si>
  <si>
    <t>Chapman, Alexander L.</t>
  </si>
  <si>
    <t>Kim L. Gratz</t>
  </si>
  <si>
    <t>="1626250219"</t>
  </si>
  <si>
    <t>="9781626250215"</t>
  </si>
  <si>
    <t>self-help</t>
  </si>
  <si>
    <t>self-help (#26)</t>
  </si>
  <si>
    <t>Great book about anger and anger management.</t>
  </si>
  <si>
    <t>Anger: Wisdom for Cooling the Flames</t>
  </si>
  <si>
    <t>="1573229377"</t>
  </si>
  <si>
    <t>="9781573229371"</t>
  </si>
  <si>
    <t>happiness, mindfulness, self-help</t>
  </si>
  <si>
    <t>happiness (#5), mindfulness (#17), self-help (#25)</t>
  </si>
  <si>
    <t>The Cow in the Parking Lot: A Zen Approach to Overcoming Anger</t>
  </si>
  <si>
    <t>Leonard Scheff</t>
  </si>
  <si>
    <t>Scheff, Leonard</t>
  </si>
  <si>
    <t>Susan Edmiston</t>
  </si>
  <si>
    <t>="0761158154"</t>
  </si>
  <si>
    <t>="9780761158158"</t>
  </si>
  <si>
    <t>mindfulness, happiness, self-help</t>
  </si>
  <si>
    <t>mindfulness (#16), happiness (#4), self-help (#24)</t>
  </si>
  <si>
    <t>Big Potential: How Transforming the Pursuit of Success Raises Our Achievement, Happiness, andWell-Being</t>
  </si>
  <si>
    <t>Shawn Achor</t>
  </si>
  <si>
    <t>Achor, Shawn</t>
  </si>
  <si>
    <t>1Q84 (1Q84, #1-3)</t>
  </si>
  <si>
    <t>Jay Rubin, Philip Gabriel</t>
  </si>
  <si>
    <t>="0307593312"</t>
  </si>
  <si>
    <t>="9780307593313"</t>
  </si>
  <si>
    <t>novel (#8)</t>
  </si>
  <si>
    <t>Elon Musk: Tesla, SpaceX, and the Quest for a Fantastic Future</t>
  </si>
  <si>
    <t>Ashlee Vance</t>
  </si>
  <si>
    <t>Vance, Ashlee</t>
  </si>
  <si>
    <t>="0062301233"</t>
  </si>
  <si>
    <t>="9780062301239"</t>
  </si>
  <si>
    <t>entrepreneur</t>
  </si>
  <si>
    <t>entrepreneur (#10)</t>
  </si>
  <si>
    <t>Komplexithoden: Clevere Wege zur (Wieder)Belebung von Unternehmen und Arbeit in Komplexität</t>
  </si>
  <si>
    <t>Niels Pflaeging</t>
  </si>
  <si>
    <t>Pflaeging, Niels</t>
  </si>
  <si>
    <t>Silke Hermann</t>
  </si>
  <si>
    <t>Redline Verlag</t>
  </si>
  <si>
    <t>to-read (#49)</t>
  </si>
  <si>
    <t>How I Lost 170 Million Dollars: My Time as #30 at Facebook</t>
  </si>
  <si>
    <t>Noah Kagan</t>
  </si>
  <si>
    <t>Kagan, Noah</t>
  </si>
  <si>
    <t>business, entrepreneur</t>
  </si>
  <si>
    <t>business (#17), entrepreneur (#12)</t>
  </si>
  <si>
    <t>Remote: Office Not Required</t>
  </si>
  <si>
    <t>Hansson, David Heinemeier</t>
  </si>
  <si>
    <t>Jason Fried, Rebecca Lowman</t>
  </si>
  <si>
    <t>="0804148996"</t>
  </si>
  <si>
    <t>="9780804148993"</t>
  </si>
  <si>
    <t>Random House Audio</t>
  </si>
  <si>
    <t>Audiobook</t>
  </si>
  <si>
    <t>business (#16)</t>
  </si>
  <si>
    <t>The Effective Executive: The Definitive Guide to Getting the Right Things Done</t>
  </si>
  <si>
    <t>Peter F. Drucker</t>
  </si>
  <si>
    <t>Drucker, Peter F.</t>
  </si>
  <si>
    <t>="0060833459"</t>
  </si>
  <si>
    <t>="9780060833459"</t>
  </si>
  <si>
    <t>management, self-help</t>
  </si>
  <si>
    <t>management (#1), self-help (#21)</t>
  </si>
  <si>
    <t>Search Inside Yourself: The Unexpected Path to Achieving Success, Happiness (And World Peace)</t>
  </si>
  <si>
    <t>="0062116924"</t>
  </si>
  <si>
    <t>="9780062116925"</t>
  </si>
  <si>
    <t>mindfulness (#2)</t>
  </si>
  <si>
    <t>The Happiness Advantage: The Seven Principles of Positive Psychology That Fuel Success and Performance at Work</t>
  </si>
  <si>
    <t>="0307591565"</t>
  </si>
  <si>
    <t>="9780307591562"</t>
  </si>
  <si>
    <t>self-help, happiness</t>
  </si>
  <si>
    <t>self-help (#7), happiness (#2)</t>
  </si>
  <si>
    <t>Delivering Happiness: A Path to Profits, Passion, and Purpose</t>
  </si>
  <si>
    <t>Tony Hsieh</t>
  </si>
  <si>
    <t>Hsieh, Tony</t>
  </si>
  <si>
    <t>="0446563048"</t>
  </si>
  <si>
    <t>="9780446563048"</t>
  </si>
  <si>
    <t>self-help (#4), happiness (#1)</t>
  </si>
  <si>
    <t>The 5 Second Rule: Transform Your Life, Work, and Confidence with Everyday Courage</t>
  </si>
  <si>
    <t>Mel Robbins</t>
  </si>
  <si>
    <t>Robbins, Mel</t>
  </si>
  <si>
    <t>Savio Republic</t>
  </si>
  <si>
    <t>self-help (#22)</t>
  </si>
  <si>
    <t>The Story Engine: An entrepreneur's guide to content strategy and brand storytelling without spending all day writing</t>
  </si>
  <si>
    <t>Kyle   Gray</t>
  </si>
  <si>
    <t>Gray, Kyle</t>
  </si>
  <si>
    <t>="154642458X"</t>
  </si>
  <si>
    <t>="9781546424581"</t>
  </si>
  <si>
    <t>Createspace Independent Publishing Platform</t>
  </si>
  <si>
    <t>entrepreneur (#5), to-read (#43)</t>
  </si>
  <si>
    <t>Scale: The Universal Laws of Growth, Innovation, Sustainability, and the Pace of Life in Organisms, Cities, Economies, and Companies</t>
  </si>
  <si>
    <t>Geoffrey B. West</t>
  </si>
  <si>
    <t>West, Geoffrey B.</t>
  </si>
  <si>
    <t>="1594205582"</t>
  </si>
  <si>
    <t>="9781594205583"</t>
  </si>
  <si>
    <t>to-read (#48)</t>
  </si>
  <si>
    <t>A Mind at Play: How Claude Shannon Invented the Information Age</t>
  </si>
  <si>
    <t>Jimmy Soni</t>
  </si>
  <si>
    <t>Soni, Jimmy</t>
  </si>
  <si>
    <t>Rob Goodman</t>
  </si>
  <si>
    <t>="1476766681"</t>
  </si>
  <si>
    <t>="9781476766683"</t>
  </si>
  <si>
    <t>science</t>
  </si>
  <si>
    <t>science (#8)</t>
  </si>
  <si>
    <t>Nice read. Amazing guy!</t>
  </si>
  <si>
    <t>The Millionaire Fastlane: Crack the Code to Wealth and Live Rich for a Lifetime!</t>
  </si>
  <si>
    <t>M.J. DeMarco</t>
  </si>
  <si>
    <t>DeMarco, M.J.</t>
  </si>
  <si>
    <t>="0984358102"</t>
  </si>
  <si>
    <t>="9780984358106"</t>
  </si>
  <si>
    <t>Viperion Publishing Corp</t>
  </si>
  <si>
    <t>entrepreneur, self-help</t>
  </si>
  <si>
    <t>entrepreneur (#9), self-help (#20)</t>
  </si>
  <si>
    <t>Hack the Entrepreneur: How to Stop Procrastinating, Build a Business, and Do Work That Matters</t>
  </si>
  <si>
    <t>Jon Nastor</t>
  </si>
  <si>
    <t>Nastor, Jon</t>
  </si>
  <si>
    <t>entrepreneur (#1), to-read (#46)</t>
  </si>
  <si>
    <t>Published</t>
  </si>
  <si>
    <t>Chandler Bolt</t>
  </si>
  <si>
    <t>Bolt, Chandler</t>
  </si>
  <si>
    <t>="1539412334"</t>
  </si>
  <si>
    <t>="9781539412335"</t>
  </si>
  <si>
    <t>to-read, entrepreneur</t>
  </si>
  <si>
    <t>to-read (#47), entrepreneur (#8)</t>
  </si>
  <si>
    <t>The Connection Algorithm: Take Risks, Defy the Status Quo, and Live Your Passions</t>
  </si>
  <si>
    <t>Jesse Tevelow</t>
  </si>
  <si>
    <t>Tevelow, Jesse</t>
  </si>
  <si>
    <t>entrepreneur (#4), to-read (#45)</t>
  </si>
  <si>
    <t>Hustle: The Life Changing Effects of Constant Motion</t>
  </si>
  <si>
    <t>Jesse Warren Tevelow</t>
  </si>
  <si>
    <t>Tevelow, Jesse Warren</t>
  </si>
  <si>
    <t>="0692601228"</t>
  </si>
  <si>
    <t>="9780692601228"</t>
  </si>
  <si>
    <t>entrepreneur (#3), to-read (#44)</t>
  </si>
  <si>
    <t>Lifestyle Entrepreneur: Live Your Dreams, Ignite Your Passions and Run Your Business From Anywhere in The World</t>
  </si>
  <si>
    <t>Jesse Krieger</t>
  </si>
  <si>
    <t>Krieger, Jesse</t>
  </si>
  <si>
    <t>Morgan James Publishing</t>
  </si>
  <si>
    <t>entrepreneur (#2), to-read (#42)</t>
  </si>
  <si>
    <t>Collaborative Intelligence: Thinking with People Who Think Differently</t>
  </si>
  <si>
    <t>Dawna Markova</t>
  </si>
  <si>
    <t>Markova, Dawna</t>
  </si>
  <si>
    <t>Angie McArthur</t>
  </si>
  <si>
    <t>self-help (#19)</t>
  </si>
  <si>
    <t>Your Move: The Underdog's Guide to Building Your Business</t>
  </si>
  <si>
    <t>Ramit Sethi</t>
  </si>
  <si>
    <t>Sethi, Ramit</t>
  </si>
  <si>
    <t>business (#8), entrepreneur (#7)</t>
  </si>
  <si>
    <t>The Start-Up J Curve: The Six Steps to Entrepreneurial Success</t>
  </si>
  <si>
    <t>Howard Love</t>
  </si>
  <si>
    <t>Love, Howard</t>
  </si>
  <si>
    <t>Greenleaf Book Group Press</t>
  </si>
  <si>
    <t>business, start-up</t>
  </si>
  <si>
    <t>business (#6), start-up (#1)</t>
  </si>
  <si>
    <t>The Lean Startup: How Today's Entrepreneurs Use Continuous Innovation to Create Radically Successful Businesses</t>
  </si>
  <si>
    <t>Eric Ries</t>
  </si>
  <si>
    <t>Ries, Eric</t>
  </si>
  <si>
    <t>="0307887898"</t>
  </si>
  <si>
    <t>="9780307887894"</t>
  </si>
  <si>
    <t>business (#1), start-up (#2)</t>
  </si>
  <si>
    <t>Internet Business Insights: Lessons Learned and Strategies Used by 101 Successful Internet-Based Entrepreneurs (Internet Business Books)</t>
  </si>
  <si>
    <t>Chris Naish</t>
  </si>
  <si>
    <t>Naish, Chris</t>
  </si>
  <si>
    <t>Buck Flogging, Loretta Crum, J.V. Crum III</t>
  </si>
  <si>
    <t>to-read (#41)</t>
  </si>
  <si>
    <t>Likeable Leadership: A Collection of 65+ Inspirational Stories on Marketing, Your Career, Social Media &amp; More</t>
  </si>
  <si>
    <t>Dave Kerpen</t>
  </si>
  <si>
    <t>Kerpen, Dave</t>
  </si>
  <si>
    <t>Jeffrey Hayzlett</t>
  </si>
  <si>
    <t>Likeable Publishing</t>
  </si>
  <si>
    <t>to-read (#40)</t>
  </si>
  <si>
    <t>The Upstarts: How Uber, Airbnb, and the Killer Companies of the New Silicon Valley Are Changing the World</t>
  </si>
  <si>
    <t>="0593076354"</t>
  </si>
  <si>
    <t>="9780593076354"</t>
  </si>
  <si>
    <t>to-read (#39)</t>
  </si>
  <si>
    <t>Cultivating Compassion: Simple Everyday Practices for Discovering Peace of Mind and Resilience</t>
  </si>
  <si>
    <t>Amy Pattee Colvin</t>
  </si>
  <si>
    <t>Colvin, Amy Pattee</t>
  </si>
  <si>
    <t>to-read (#30), mindfulness (#14)</t>
  </si>
  <si>
    <t>A Swift Kick in the Can'ts: The New Peer Mentor Model for Success Now</t>
  </si>
  <si>
    <t>Elaina Zuker</t>
  </si>
  <si>
    <t>Zuker, Elaina</t>
  </si>
  <si>
    <t>to-read, business</t>
  </si>
  <si>
    <t>to-read (#29), business (#11)</t>
  </si>
  <si>
    <t>Letters from a Stoic</t>
  </si>
  <si>
    <t>Tom Butler-Bowdon, Robin Campbell</t>
  </si>
  <si>
    <t>="0140442103"</t>
  </si>
  <si>
    <t>="9780140442106"</t>
  </si>
  <si>
    <t>to-read (#26), mindfulness (#13)</t>
  </si>
  <si>
    <t>On the Shortness of Life</t>
  </si>
  <si>
    <t>Charles Desmond Nuttall Costa</t>
  </si>
  <si>
    <t>="0143036327"</t>
  </si>
  <si>
    <t>="9780143036326"</t>
  </si>
  <si>
    <t>to-read (#25), mindfulness (#12)</t>
  </si>
  <si>
    <t>The 15 Commitments of Conscious Leadership: A New Paradigm for Sustainable Success</t>
  </si>
  <si>
    <t>Jim Dethmer</t>
  </si>
  <si>
    <t>Dethmer, Jim</t>
  </si>
  <si>
    <t>Diana Chapman, Kaley Klemp</t>
  </si>
  <si>
    <t>to-read (#21), mindfulness (#11)</t>
  </si>
  <si>
    <t>Toyota Kata: Managing People for Improvement, Adaptiveness and Superior Results</t>
  </si>
  <si>
    <t>Mike Rother</t>
  </si>
  <si>
    <t>Rother, Mike</t>
  </si>
  <si>
    <t>="0071635238"</t>
  </si>
  <si>
    <t>="9780071635233"</t>
  </si>
  <si>
    <t>to-read, business, agile</t>
  </si>
  <si>
    <t>to-read (#20), business (#9), agile (#18)</t>
  </si>
  <si>
    <t>Meditations &amp; The Thoughts of the Emperor (Illustrated)</t>
  </si>
  <si>
    <t>Marcus Aurelius</t>
  </si>
  <si>
    <t>Aurelius, Marcus</t>
  </si>
  <si>
    <t>George Long</t>
  </si>
  <si>
    <t>Titan Read</t>
  </si>
  <si>
    <t>to-read (#17), mindfulness (#10)</t>
  </si>
  <si>
    <t>Reinvent Yourself</t>
  </si>
  <si>
    <t>Choose Yourself Media / James Altucher</t>
  </si>
  <si>
    <t>to-read, self-help</t>
  </si>
  <si>
    <t>to-read (#8), self-help (#18)</t>
  </si>
  <si>
    <t>80/20 Sales and Marketing: The Definitive Guide to Working Less and Making More</t>
  </si>
  <si>
    <t>Perry Marshall</t>
  </si>
  <si>
    <t>Marshall, Perry</t>
  </si>
  <si>
    <t>="1599185059"</t>
  </si>
  <si>
    <t>="9781599185057"</t>
  </si>
  <si>
    <t>Entrepreneur Press</t>
  </si>
  <si>
    <t>to-read (#58), business (#7)</t>
  </si>
  <si>
    <t>10% Happier: How I Tamed the Voice in My Head, Reduced Stress Without Losing My Edge, and Found Self-Help That Actually Works</t>
  </si>
  <si>
    <t>="0062265423"</t>
  </si>
  <si>
    <t>="9780062265425"</t>
  </si>
  <si>
    <t>It Books</t>
  </si>
  <si>
    <t>mindfulness (#9)</t>
  </si>
  <si>
    <t>Effortless Writing: The Simple Way to Write and Guarantee Remarkable Results (WRITE BETTER, FASTER &amp; SMARTER)</t>
  </si>
  <si>
    <t>Kerry Miller</t>
  </si>
  <si>
    <t>Miller, Kerry</t>
  </si>
  <si>
    <t>Doing It : Management 3.0 Experiences</t>
  </si>
  <si>
    <t>Ralph van Roosmalen</t>
  </si>
  <si>
    <t>Roosmalen, Ralph van</t>
  </si>
  <si>
    <t>to-read (#7)</t>
  </si>
  <si>
    <t>Start with Why: How Great Leaders Inspire Everyone to Take Action</t>
  </si>
  <si>
    <t>="1591842808"</t>
  </si>
  <si>
    <t>="9781591842804"</t>
  </si>
  <si>
    <t>to-read (#9)</t>
  </si>
  <si>
    <t>The Thank You Economy</t>
  </si>
  <si>
    <t>Gary Vaynerchuk</t>
  </si>
  <si>
    <t>Vaynerchuk, Gary</t>
  </si>
  <si>
    <t>business (#4)</t>
  </si>
  <si>
    <t>The Truth: An Uncomfortable Book About Relationships</t>
  </si>
  <si>
    <t>Neil Strauss</t>
  </si>
  <si>
    <t>Strauss, Neil</t>
  </si>
  <si>
    <t>="0060898763"</t>
  </si>
  <si>
    <t>="9780060898762"</t>
  </si>
  <si>
    <t>Dey St. Books, an imprint of William Morrow Publishers</t>
  </si>
  <si>
    <t>to-read (#38)</t>
  </si>
  <si>
    <t>Invisible</t>
  </si>
  <si>
    <t>="0805090800"</t>
  </si>
  <si>
    <t>="9780805090802"</t>
  </si>
  <si>
    <t>novel (#13)</t>
  </si>
  <si>
    <t>Change by Design: How Design Thinking Transforms Organizations and Inspires Innovation</t>
  </si>
  <si>
    <t>Tim    Brown</t>
  </si>
  <si>
    <t>Brown, Tim</t>
  </si>
  <si>
    <t>="0061766089"</t>
  </si>
  <si>
    <t>="9780061766084"</t>
  </si>
  <si>
    <t>to-read (#37)</t>
  </si>
  <si>
    <t>Tools of Titans: The Tactics, Routines, and Habits of Billionaires, Icons, and World-Class Performers</t>
  </si>
  <si>
    <t>Timothy Ferriss</t>
  </si>
  <si>
    <t>Ferriss, Timothy</t>
  </si>
  <si>
    <t>Arnold Schwarzenegger</t>
  </si>
  <si>
    <t>to-read (#36)</t>
  </si>
  <si>
    <t>How to Fail at Almost Everything and Still Win Big: Kind of the Story of My Life</t>
  </si>
  <si>
    <t>Scott Adams</t>
  </si>
  <si>
    <t>Adams, Scott</t>
  </si>
  <si>
    <t>="1591846919"</t>
  </si>
  <si>
    <t>="9781591846918"</t>
  </si>
  <si>
    <t>Penguin Portfolio</t>
  </si>
  <si>
    <t>to-read (#35)</t>
  </si>
  <si>
    <t>Choose Yourself: Be Happy, Make Millions, Live the Dream</t>
  </si>
  <si>
    <t>="1619610221"</t>
  </si>
  <si>
    <t>="9781619610224"</t>
  </si>
  <si>
    <t>JAMES ALTUCHER</t>
  </si>
  <si>
    <t>self-help (#16)</t>
  </si>
  <si>
    <t>Test-Driven Development: By Example</t>
  </si>
  <si>
    <t>Kent Beck</t>
  </si>
  <si>
    <t>Beck, Kent</t>
  </si>
  <si>
    <t>="0321146530"</t>
  </si>
  <si>
    <t>="9780321146533"</t>
  </si>
  <si>
    <t>to-read, agile</t>
  </si>
  <si>
    <t>to-read (#34), agile (#17)</t>
  </si>
  <si>
    <t>Clean Code: A Handbook of Agile Software Craftsmanship</t>
  </si>
  <si>
    <t>Robert C. Martin</t>
  </si>
  <si>
    <t>Martin, Robert C.</t>
  </si>
  <si>
    <t>="0132350882"</t>
  </si>
  <si>
    <t>="9780132350884"</t>
  </si>
  <si>
    <t>Pearson</t>
  </si>
  <si>
    <t>to-read (#33), agile (#16)</t>
  </si>
  <si>
    <t>The small BIG: Small Changes that Spark Big Influence</t>
  </si>
  <si>
    <t>Steve J. Martin</t>
  </si>
  <si>
    <t>Martin, Steve J.</t>
  </si>
  <si>
    <t>Noah J. Goldstein, Robert B. Cialdini</t>
  </si>
  <si>
    <t>="1781252750"</t>
  </si>
  <si>
    <t>="9781781252758"</t>
  </si>
  <si>
    <t>self-help (#15)</t>
  </si>
  <si>
    <t>Working Out Loud: For a better career and life</t>
  </si>
  <si>
    <t>John Stepper</t>
  </si>
  <si>
    <t>Stepper, John</t>
  </si>
  <si>
    <t>Ikigai Press</t>
  </si>
  <si>
    <t>Calm: Calm the Mind. Change the World</t>
  </si>
  <si>
    <t>Michael Acton Smith</t>
  </si>
  <si>
    <t>Smith, Michael Acton</t>
  </si>
  <si>
    <t>="0241201950"</t>
  </si>
  <si>
    <t>="9780241201954"</t>
  </si>
  <si>
    <t>self-help, mindfulness</t>
  </si>
  <si>
    <t>self-help (#13), mindfulness (#8)</t>
  </si>
  <si>
    <t>Ego Is the Enemy</t>
  </si>
  <si>
    <t>="1591847818"</t>
  </si>
  <si>
    <t>="9781591847816"</t>
  </si>
  <si>
    <t>self-help (#14)</t>
  </si>
  <si>
    <t>Sapiens: A Brief History of Humankind</t>
  </si>
  <si>
    <t>An Introduction to General Systems Thinking</t>
  </si>
  <si>
    <t>Gerald M. Weinberg</t>
  </si>
  <si>
    <t>Weinberg, Gerald M.</t>
  </si>
  <si>
    <t>="0932633498"</t>
  </si>
  <si>
    <t>="9780932633491"</t>
  </si>
  <si>
    <t>Dorset House Publishing Co Inc.,U.S.</t>
  </si>
  <si>
    <t>to-read (#32)</t>
  </si>
  <si>
    <t>Grit, Discipline, Perseverance: The Emotional Habits That Drive Success</t>
  </si>
  <si>
    <t>Steve  Williams</t>
  </si>
  <si>
    <t>Williams, Steve</t>
  </si>
  <si>
    <t>Pinnacle Publishers, LLC</t>
  </si>
  <si>
    <t>to-read (#31)</t>
  </si>
  <si>
    <t>Unlimited Power: The New Science of Personal Achievement</t>
  </si>
  <si>
    <t>Anthony Robbins</t>
  </si>
  <si>
    <t>Robbins, Anthony</t>
  </si>
  <si>
    <t>Simon &amp; Schuster UK</t>
  </si>
  <si>
    <t>self-help, currently-reading</t>
  </si>
  <si>
    <t>self-help (#3), currently-reading (#1)</t>
  </si>
  <si>
    <t>Emotional Intelligence - 51 Tips to Raise EQ for Your Incredible Success. How to Control Emotions, Communication &amp; Social Skills.</t>
  </si>
  <si>
    <t>Thomas Turner</t>
  </si>
  <si>
    <t>Turner, Thomas</t>
  </si>
  <si>
    <t>Before You Write Another Blog Post: A content strategy guide for corporate bloggers</t>
  </si>
  <si>
    <t>Jeffrey Kranz</t>
  </si>
  <si>
    <t>Kranz, Jeffrey</t>
  </si>
  <si>
    <t>Overthink Group</t>
  </si>
  <si>
    <t>How to Win Friends and Influence People</t>
  </si>
  <si>
    <t>self-help (#12)</t>
  </si>
  <si>
    <t>The Power Of Now: A Guide To Spiritual Enlightenment</t>
  </si>
  <si>
    <t>Hodder &amp; Stoughton</t>
  </si>
  <si>
    <t>mindfulness (#3)</t>
  </si>
  <si>
    <t>Hard-Boiled Wonderland and the End of the World</t>
  </si>
  <si>
    <t>Alfred Birnbaum</t>
  </si>
  <si>
    <t>Maverick: The Success Story Behind the World's Most Unusual Workplace</t>
  </si>
  <si>
    <t>Ricardo Semler</t>
  </si>
  <si>
    <t>Semler, Ricardo</t>
  </si>
  <si>
    <t>="0712678867"</t>
  </si>
  <si>
    <t>="9780712678865"</t>
  </si>
  <si>
    <t>to-read (#28)</t>
  </si>
  <si>
    <t>So Good They Can't Ignore You: Why Skills Trump Passion in the Quest for Work You Love</t>
  </si>
  <si>
    <t>="1455509108"</t>
  </si>
  <si>
    <t>="9781455509102"</t>
  </si>
  <si>
    <t>Business Plus</t>
  </si>
  <si>
    <t>to-read (#27)</t>
  </si>
  <si>
    <t>The War of Art: Winning the Inner Creative Battle</t>
  </si>
  <si>
    <t>Steven Pressfield</t>
  </si>
  <si>
    <t>Pressfield, Steven</t>
  </si>
  <si>
    <t>Robert McKee</t>
  </si>
  <si>
    <t>="0446691437"</t>
  </si>
  <si>
    <t>="9780446691437"</t>
  </si>
  <si>
    <t>Warner Books</t>
  </si>
  <si>
    <t>to-read (#24)</t>
  </si>
  <si>
    <t>The Antidote: Happiness for People Who Can't Stand Positive Thinking</t>
  </si>
  <si>
    <t>="1429947608"</t>
  </si>
  <si>
    <t>="9781429947602"</t>
  </si>
  <si>
    <t>to-read (#22)</t>
  </si>
  <si>
    <t>The Seven Habits of Highly Effective People</t>
  </si>
  <si>
    <t>="0671708635"</t>
  </si>
  <si>
    <t>="9780671708634"</t>
  </si>
  <si>
    <t>self-help (#1)</t>
  </si>
  <si>
    <t>Be Free Where You Are</t>
  </si>
  <si>
    <t>Chan Khong</t>
  </si>
  <si>
    <t>="188837523X"</t>
  </si>
  <si>
    <t>="9781888375237"</t>
  </si>
  <si>
    <t>Parallax Press</t>
  </si>
  <si>
    <t>mindfulness (#6)</t>
  </si>
  <si>
    <t>The End of Jobs: Money, Meaning and Freedom Without the 9-to-5</t>
  </si>
  <si>
    <t>Taylor Pearson</t>
  </si>
  <si>
    <t>Pearson, Taylor</t>
  </si>
  <si>
    <t>The Obstacle Is the Way: The Timeless Art of Turning Trials into Triumph</t>
  </si>
  <si>
    <t>="1591846358"</t>
  </si>
  <si>
    <t>="9781591846352"</t>
  </si>
  <si>
    <t>self-help (#2)</t>
  </si>
  <si>
    <t>UX for Lean Startups: Faster, Smarter User Experience Research and Design</t>
  </si>
  <si>
    <t>Laura Klein</t>
  </si>
  <si>
    <t>Klein, Laura</t>
  </si>
  <si>
    <t>="1449335039"</t>
  </si>
  <si>
    <t>="9781449335038"</t>
  </si>
  <si>
    <t>agile (#15)</t>
  </si>
  <si>
    <t>Our Iceberg Is Melting: Changing and Succeeding Under Any Conditions</t>
  </si>
  <si>
    <t>John P. Kotter</t>
  </si>
  <si>
    <t>Kotter, John P.</t>
  </si>
  <si>
    <t>Holger Rathgeber, Peter Mueller, Spencer Johnson</t>
  </si>
  <si>
    <t>="031236198X"</t>
  </si>
  <si>
    <t>="9780312361983"</t>
  </si>
  <si>
    <t>Think Like a Freak</t>
  </si>
  <si>
    <t>Steven D. Levitt</t>
  </si>
  <si>
    <t>Levitt, Steven D.</t>
  </si>
  <si>
    <t>Stephen J. Dubner</t>
  </si>
  <si>
    <t>="0062218360"</t>
  </si>
  <si>
    <t>="9780062218360"</t>
  </si>
  <si>
    <t>self-help (#11)</t>
  </si>
  <si>
    <t>Unbroken: A World War II Story of Survival, Resilience and Redemption</t>
  </si>
  <si>
    <t>Laura Hillenbrand</t>
  </si>
  <si>
    <t>Hillenbrand, Laura</t>
  </si>
  <si>
    <t>="1400064163"</t>
  </si>
  <si>
    <t>="9781400064168"</t>
  </si>
  <si>
    <t>Waking Up: A Guide to Spirituality Without Religion</t>
  </si>
  <si>
    <t>="1451636016"</t>
  </si>
  <si>
    <t>="9781451636017"</t>
  </si>
  <si>
    <t>self-help (#5)</t>
  </si>
  <si>
    <t>The Black Swan: The Impact of the Highly Improbable</t>
  </si>
  <si>
    <t>="0141034599"</t>
  </si>
  <si>
    <t>="9780141034591"</t>
  </si>
  <si>
    <t>Une rencontre</t>
  </si>
  <si>
    <t>="2070443361"</t>
  </si>
  <si>
    <t>="9782070443369"</t>
  </si>
  <si>
    <t>Gallimard Folio</t>
  </si>
  <si>
    <t>novel (#12)</t>
  </si>
  <si>
    <t>Rework</t>
  </si>
  <si>
    <t>="0307463745"</t>
  </si>
  <si>
    <t>="9780307463746"</t>
  </si>
  <si>
    <t>business (#3)</t>
  </si>
  <si>
    <t>Winning</t>
  </si>
  <si>
    <t>Jack Welch</t>
  </si>
  <si>
    <t>Welch, Jack</t>
  </si>
  <si>
    <t>Suzy Welch</t>
  </si>
  <si>
    <t>="0060753943"</t>
  </si>
  <si>
    <t>="9780060753948"</t>
  </si>
  <si>
    <t>self-help (#10)</t>
  </si>
  <si>
    <t>Thinking, Fast and Slow</t>
  </si>
  <si>
    <t>="0374275637"</t>
  </si>
  <si>
    <t>="9780374275631"</t>
  </si>
  <si>
    <t>self-help (#9)</t>
  </si>
  <si>
    <t>The 4-Hour Workweek</t>
  </si>
  <si>
    <t>="0307353133"</t>
  </si>
  <si>
    <t>="9780307353139"</t>
  </si>
  <si>
    <t>business, self-help</t>
  </si>
  <si>
    <t>business (#2), self-help (#8)</t>
  </si>
  <si>
    <t>What Do You Care What Other People Think?</t>
  </si>
  <si>
    <t>="0393320928"</t>
  </si>
  <si>
    <t>="9780393320923"</t>
  </si>
  <si>
    <t>science (#7)</t>
  </si>
  <si>
    <t>L'immortalité</t>
  </si>
  <si>
    <t>="2070385884"</t>
  </si>
  <si>
    <t>="9782070385881"</t>
  </si>
  <si>
    <t>novel (#11)</t>
  </si>
  <si>
    <t>La lenteur</t>
  </si>
  <si>
    <t>="2070402738"</t>
  </si>
  <si>
    <t>="9782070402731"</t>
  </si>
  <si>
    <t>Gallimard Education</t>
  </si>
  <si>
    <t>novel (#10)</t>
  </si>
  <si>
    <t>Haruki Murakami and the Music of Words</t>
  </si>
  <si>
    <t>Jay Rubin</t>
  </si>
  <si>
    <t>Rubin, Jay</t>
  </si>
  <si>
    <t>="0099455447"</t>
  </si>
  <si>
    <t>="9780099455448"</t>
  </si>
  <si>
    <t>novel (#9)</t>
  </si>
  <si>
    <t>4 Seconds: All The Time You Need to Stop Counter-Productive Habits and Get the Results You Want</t>
  </si>
  <si>
    <t>Peter Bregman</t>
  </si>
  <si>
    <t>Bregman, Peter</t>
  </si>
  <si>
    <t>="0062372416"</t>
  </si>
  <si>
    <t>="9780062372413"</t>
  </si>
  <si>
    <t>self-help (#6)</t>
  </si>
  <si>
    <t>Nice read! With practical advises.</t>
  </si>
  <si>
    <t>Succeeding with Agile: Software Development Using Scrum</t>
  </si>
  <si>
    <t>Mike Cohn</t>
  </si>
  <si>
    <t>Cohn, Mike</t>
  </si>
  <si>
    <t>="0321579364"</t>
  </si>
  <si>
    <t>="9780321579362"</t>
  </si>
  <si>
    <t>to-read (#19), agile (#13)</t>
  </si>
  <si>
    <t>User Story Mapping: Discover the Whole Story, Build the Right Product</t>
  </si>
  <si>
    <t>Jeff Patton</t>
  </si>
  <si>
    <t>Patton, Jeff</t>
  </si>
  <si>
    <t>Peter Economy</t>
  </si>
  <si>
    <t>="1491904909"</t>
  </si>
  <si>
    <t>="9781491904909"</t>
  </si>
  <si>
    <t>to-read (#18), agile (#12)</t>
  </si>
  <si>
    <t>Antifragile: How to Live in a World We Don't Understand</t>
  </si>
  <si>
    <t>="1846141567"</t>
  </si>
  <si>
    <t>="9781846141560"</t>
  </si>
  <si>
    <t>to-read (#4)</t>
  </si>
  <si>
    <t>Mastering the Core Teachings of the Buddha: An Unusually Hardcore Dharma Book</t>
  </si>
  <si>
    <t>Daniel M. Ingram</t>
  </si>
  <si>
    <t>Ingram, Daniel M.</t>
  </si>
  <si>
    <t>="1904658407"</t>
  </si>
  <si>
    <t>="9781904658405"</t>
  </si>
  <si>
    <t>AEON Books</t>
  </si>
  <si>
    <t>to-read (#5), mindfulness (#5)</t>
  </si>
  <si>
    <t>#Workout: Games, Tools &amp; Practices to Engage People, Improve Work, and Delight Clients</t>
  </si>
  <si>
    <t>="9789492032003"</t>
  </si>
  <si>
    <t>Happy Melly Express</t>
  </si>
  <si>
    <t>agile (#10), to-read (#16)</t>
  </si>
  <si>
    <t>La fête de l'insignifiance</t>
  </si>
  <si>
    <t>="2070466140"</t>
  </si>
  <si>
    <t>="9782070466146"</t>
  </si>
  <si>
    <t>novel (#2)</t>
  </si>
  <si>
    <t>L'art du roman</t>
  </si>
  <si>
    <t>="2070328015"</t>
  </si>
  <si>
    <t>="9782070328017"</t>
  </si>
  <si>
    <t>The Alchemist</t>
  </si>
  <si>
    <t>="0061122416"</t>
  </si>
  <si>
    <t>="9780061122415"</t>
  </si>
  <si>
    <t>novel (#4)</t>
  </si>
  <si>
    <t>Kafka on the Shore</t>
  </si>
  <si>
    <t>="1400079276"</t>
  </si>
  <si>
    <t>="9781400079278"</t>
  </si>
  <si>
    <t>Vintage International</t>
  </si>
  <si>
    <t>novel (#6)</t>
  </si>
  <si>
    <t>Norwegian Wood</t>
  </si>
  <si>
    <t>="0375704027"</t>
  </si>
  <si>
    <t>="9780375704024"</t>
  </si>
  <si>
    <t>Vintage Books</t>
  </si>
  <si>
    <t>novel (#5)</t>
  </si>
  <si>
    <t>The Wind-Up Bird Chronicle</t>
  </si>
  <si>
    <t>="0965341984"</t>
  </si>
  <si>
    <t>="9780965341981"</t>
  </si>
  <si>
    <t>novel (#7)</t>
  </si>
  <si>
    <t>Terra Nostra</t>
  </si>
  <si>
    <t>Carlos Fuentes</t>
  </si>
  <si>
    <t>Fuentes, Carlos</t>
  </si>
  <si>
    <t>Margaret Sayers Peden, Milan Kundera, Jorge Volpi</t>
  </si>
  <si>
    <t>="1564782875"</t>
  </si>
  <si>
    <t>="9781564782878"</t>
  </si>
  <si>
    <t>Dalkey Archive Press</t>
  </si>
  <si>
    <t>to-read, novel</t>
  </si>
  <si>
    <t>to-read (#14), novel (#3)</t>
  </si>
  <si>
    <t>Die Pilgerjahre des farblosen Herrn Tazaki</t>
  </si>
  <si>
    <t>Ursula Gräfe</t>
  </si>
  <si>
    <t>="3832197486"</t>
  </si>
  <si>
    <t>="9783832197483"</t>
  </si>
  <si>
    <t>DuMont</t>
  </si>
  <si>
    <t>novel (#1)</t>
  </si>
  <si>
    <t>Plaidoyer pour le bonheur</t>
  </si>
  <si>
    <t>Matthieu Ricard</t>
  </si>
  <si>
    <t>Ricard, Matthieu</t>
  </si>
  <si>
    <t>="226614460X"</t>
  </si>
  <si>
    <t>="9782266144605"</t>
  </si>
  <si>
    <t>mindfulness (#4)</t>
  </si>
  <si>
    <t>Fermat's Enigma</t>
  </si>
  <si>
    <t>Simon Singh</t>
  </si>
  <si>
    <t>Singh, Simon</t>
  </si>
  <si>
    <t>="0385493622"</t>
  </si>
  <si>
    <t>="9780385493628"</t>
  </si>
  <si>
    <t>science (#6)</t>
  </si>
  <si>
    <t>Flow: The Psychology of Optimal Experience</t>
  </si>
  <si>
    <t>Mihaly Csikszentmihalyi</t>
  </si>
  <si>
    <t>Csikszentmihalyi, Mihaly</t>
  </si>
  <si>
    <t>="0060920432"</t>
  </si>
  <si>
    <t>="9780060920432"</t>
  </si>
  <si>
    <t>Agile Project Management with Scrum</t>
  </si>
  <si>
    <t>Ken Schwaber</t>
  </si>
  <si>
    <t>Schwaber, Ken</t>
  </si>
  <si>
    <t>="073561993X"</t>
  </si>
  <si>
    <t>="9780735619937"</t>
  </si>
  <si>
    <t>Microsoft Press</t>
  </si>
  <si>
    <t>agile (#9)</t>
  </si>
  <si>
    <t>Agile Software Requirements: Lean Requirements Practices for Teams, Programs, and the Enterprise</t>
  </si>
  <si>
    <t>Dean Leffingwell</t>
  </si>
  <si>
    <t>Leffingwell, Dean</t>
  </si>
  <si>
    <t>Don Widrig</t>
  </si>
  <si>
    <t>="0321635841"</t>
  </si>
  <si>
    <t>="9780321635846"</t>
  </si>
  <si>
    <t>agile (#8)</t>
  </si>
  <si>
    <t>The Dream Team Nightmare</t>
  </si>
  <si>
    <t>Portia Tung</t>
  </si>
  <si>
    <t>Tung, Portia</t>
  </si>
  <si>
    <t>Leanpub</t>
  </si>
  <si>
    <t>agile (#7)</t>
  </si>
  <si>
    <t>I enjoyed reading this book.</t>
  </si>
  <si>
    <t>Do Better Scrum</t>
  </si>
  <si>
    <t>Peter Hundermark</t>
  </si>
  <si>
    <t>Hundermark, Peter</t>
  </si>
  <si>
    <t>ScrumSense</t>
  </si>
  <si>
    <t>agile (#6)</t>
  </si>
  <si>
    <t>Agile Retrospectives: Making Good Teams Great</t>
  </si>
  <si>
    <t>Esther Derby</t>
  </si>
  <si>
    <t>Derby, Esther</t>
  </si>
  <si>
    <t>Diana Larsen, Ken Schwaber</t>
  </si>
  <si>
    <t>="0977616649"</t>
  </si>
  <si>
    <t>="9780977616640"</t>
  </si>
  <si>
    <t>Pragmatic Bookshelf</t>
  </si>
  <si>
    <t>agile (#5)</t>
  </si>
  <si>
    <t>Kanban and Scrum - Making the Most of Both</t>
  </si>
  <si>
    <t>Henrik Kniberg</t>
  </si>
  <si>
    <t>Kniberg, Henrik</t>
  </si>
  <si>
    <t>Mattias Skarin</t>
  </si>
  <si>
    <t>="0557138329"</t>
  </si>
  <si>
    <t>="9780557138326"</t>
  </si>
  <si>
    <t>Lulu.com</t>
  </si>
  <si>
    <t>agile (#4)</t>
  </si>
  <si>
    <t>Scrum and XP from the Trenches</t>
  </si>
  <si>
    <t>="1430322640"</t>
  </si>
  <si>
    <t>="9781430322641"</t>
  </si>
  <si>
    <t>agile (#3)</t>
  </si>
  <si>
    <t>Lean from the Trenches</t>
  </si>
  <si>
    <t>="1934356859"</t>
  </si>
  <si>
    <t>="9781934356852"</t>
  </si>
  <si>
    <t>agile (#2)</t>
  </si>
  <si>
    <t>Agile Product Management with Scrum: Creating Products That Customers Love</t>
  </si>
  <si>
    <t>Roman Pichler</t>
  </si>
  <si>
    <t>Pichler, Roman</t>
  </si>
  <si>
    <t>="0321605780"</t>
  </si>
  <si>
    <t>="9780321605788"</t>
  </si>
  <si>
    <t>agile (#1)</t>
  </si>
  <si>
    <t>The Pleasure of Finding Things Out: The Best Short Works of Richard P. Feynman</t>
  </si>
  <si>
    <t>Jeffrey Robbins</t>
  </si>
  <si>
    <t>Robbins, Jeffrey</t>
  </si>
  <si>
    <t>Richard P. Feynman, Freeman Dyson</t>
  </si>
  <si>
    <t>science (#5)</t>
  </si>
  <si>
    <t>Genius: The Life and Science of Richard Feynman</t>
  </si>
  <si>
    <t>="0679747044"</t>
  </si>
  <si>
    <t>="9780679747048"</t>
  </si>
  <si>
    <t>science (#4)</t>
  </si>
  <si>
    <t>Surely You're Joking, Mr. Feynman!: Adventures of a Curious Character</t>
  </si>
  <si>
    <t>="0393316041"</t>
  </si>
  <si>
    <t>="9780393316049"</t>
  </si>
  <si>
    <t>W. W. Norton &amp; Company</t>
  </si>
  <si>
    <t>science (#3)</t>
  </si>
  <si>
    <t>A Brief History of Time</t>
  </si>
  <si>
    <t>="0553380168"</t>
  </si>
  <si>
    <t>="9780553380163"</t>
  </si>
  <si>
    <t>science (#2)</t>
  </si>
  <si>
    <t>Wherever You Go, There You Are: Mindfulness Meditation in Everyday Life</t>
  </si>
  <si>
    <t>Kabat-Zinn, Jon</t>
  </si>
  <si>
    <t>="1401307787"</t>
  </si>
  <si>
    <t>="9781401307783"</t>
  </si>
  <si>
    <t>mindfulness (#1)</t>
  </si>
  <si>
    <t>The Power of Habit: Why We Do What We Do in Life and Business</t>
  </si>
  <si>
    <t>Charles Duhigg</t>
  </si>
  <si>
    <t>Duhigg, Charles</t>
  </si>
  <si>
    <t>="1400069289"</t>
  </si>
  <si>
    <t>="9781400069286"</t>
  </si>
  <si>
    <t>Sync: The Emerging Science of Spontaneous Order</t>
  </si>
  <si>
    <t>="0786868449"</t>
  </si>
  <si>
    <t>="9780786868445"</t>
  </si>
  <si>
    <t>science (#1)</t>
  </si>
  <si>
    <t>The Future of the Mind: The Scientific Quest to Understand, Enhance, and Empower the Mind</t>
  </si>
  <si>
    <t>Michio Kaku</t>
  </si>
  <si>
    <t>Kaku, Michio</t>
  </si>
  <si>
    <t>="038553082X"</t>
  </si>
  <si>
    <t>="9780385530828"</t>
  </si>
  <si>
    <t>Doubleday</t>
  </si>
  <si>
    <t>to-read (#13)</t>
  </si>
  <si>
    <t>Hyperspace: A Scientific Odyssey Through Parallel Universes, Time Warps, and the Tenth Dimension</t>
  </si>
  <si>
    <t>="0192861891"</t>
  </si>
  <si>
    <t>="9780192861894"</t>
  </si>
  <si>
    <t>Oxford Univ Pr (T)</t>
  </si>
  <si>
    <t>to-read (#12)</t>
  </si>
  <si>
    <t>Physics of the Impossible</t>
  </si>
  <si>
    <t>="0385520697"</t>
  </si>
  <si>
    <t>="9780385520690"</t>
  </si>
  <si>
    <t>Doubleday Books</t>
  </si>
  <si>
    <t>to-read (#11)</t>
  </si>
  <si>
    <t>Awaken the Giant Within: How to Take Immediate Control of Your Mental, Emotional, Physical and Financial Destiny!</t>
  </si>
  <si>
    <t>Tony Robbins</t>
  </si>
  <si>
    <t>Robbins, Tony</t>
  </si>
  <si>
    <t>Anthony Robbins, Frederick L. Covan</t>
  </si>
  <si>
    <t>="0671791540"</t>
  </si>
  <si>
    <t>="9780671791544"</t>
  </si>
  <si>
    <t>to-read (#10)</t>
  </si>
  <si>
    <t>Blink: The Power of Thinking Without Thinking</t>
  </si>
  <si>
    <t>Barry Fox, Irina Henegar</t>
  </si>
  <si>
    <t>="0316010669"</t>
  </si>
  <si>
    <t>="9780316010665"</t>
  </si>
  <si>
    <t>to-read (#6)</t>
  </si>
  <si>
    <t>The Elephant Vanishes</t>
  </si>
  <si>
    <t>Jay Rubin, John Chancer, Alfred Birnbaum</t>
  </si>
  <si>
    <t>ASIN</t>
  </si>
  <si>
    <t>Amazon Link</t>
  </si>
  <si>
    <t>Goodreads Link</t>
  </si>
  <si>
    <t>GR Edit</t>
  </si>
  <si>
    <t>B097XNT4RT</t>
  </si>
  <si>
    <t>B07Q4LY2CV</t>
  </si>
  <si>
    <t>B017WS32NO</t>
  </si>
  <si>
    <t>B004CR6ALA</t>
  </si>
  <si>
    <t>B08YRX3MTQ</t>
  </si>
  <si>
    <t>B083YZTW4B</t>
  </si>
  <si>
    <t>B00AHC9PZW</t>
  </si>
  <si>
    <t>B00JSRQSJS</t>
  </si>
  <si>
    <t>B009U9S54K</t>
  </si>
  <si>
    <t>Stride Toward Freedom: The Montgomery Story</t>
  </si>
  <si>
    <t>Martin Luther King Jr.</t>
  </si>
  <si>
    <t>The Sleep Solution: Why Your Sleep is Broken and How to Fix It</t>
  </si>
  <si>
    <t>B01KGZVRVO</t>
  </si>
  <si>
    <t xml:space="preserve">W. Chris Winter </t>
  </si>
  <si>
    <t>B013PKZUOW</t>
  </si>
  <si>
    <t>The Miracle Morning: The 6 Habits That Will Transform Your Life Before 8AM</t>
  </si>
  <si>
    <t>Hal Elrod</t>
  </si>
  <si>
    <t>B000FCK2TW</t>
  </si>
  <si>
    <t>Never Let Me Go</t>
  </si>
  <si>
    <t>B01M1GEJJK</t>
  </si>
  <si>
    <t>Deep Thinking: Where Machine Intelligence Ends and Human Creativity Begins</t>
  </si>
  <si>
    <t>B0BKRLRL5J</t>
  </si>
  <si>
    <t>My Anger or My Kids?: The Anger Management Guide for Parents; Learn to Understand Your Kids, Gain Empathy, and Overcome Anger Issues through Radical Compassion and Self-acceptance</t>
  </si>
  <si>
    <t>Abby Lawrence</t>
  </si>
  <si>
    <t>Garry Kasparov</t>
  </si>
  <si>
    <t>B079DPLX5V</t>
  </si>
  <si>
    <t>Change by Design, Revised and Updated: How Design Thinking Transforms Organizations and Inspires Innovation</t>
  </si>
  <si>
    <t>Tim Brown</t>
  </si>
  <si>
    <t>B0043M4ZH0</t>
  </si>
  <si>
    <t>The Ultimate Hitchhiker's Guide to the Galaxy: Five Novels in One Outrageous Volume</t>
  </si>
  <si>
    <t>Think Like a Monk: The secret of how to harness the power of positivity and be happy now</t>
  </si>
  <si>
    <t>B07Y5S56DK</t>
  </si>
  <si>
    <t>Jay Shetty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</si>
</sst>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_([$€-2]\ * #,##0.00_);_([$€-2]\ * \(#,##0.00\);_([$€-2]\ * &quot;-&quot;??_);_(@_)"/>
  </numFmts>
  <fonts count="2" x14ac:knownFonts="1">
    <font>
      <sz val="11"/>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pplyNumberFormat="0" applyFill="0" applyBorder="0" applyAlignment="0" applyProtection="0"/>
  </cellStyleXfs>
  <cellXfs count="11">
    <xf numFmtId="0" fontId="0" fillId="0" borderId="0" xfId="0"/>
    <xf numFmtId="0" fontId="1" fillId="0" borderId="0" xfId="1"/>
    <xf numFmtId="14" fontId="0" fillId="0" borderId="0" xfId="0" applyNumberFormat="1"/>
    <xf numFmtId="164" fontId="0" fillId="0" borderId="0" xfId="0" applyNumberFormat="1"/>
    <xf numFmtId="0" fontId="0" fillId="0" borderId="0" xfId="0" applyAlignment="1">
      <alignment wrapText="1"/>
    </xf>
    <xf numFmtId="0" fontId="0" fillId="0" borderId="0" xfId="0" applyAlignment="1">
      <alignment horizontal="left"/>
    </xf>
    <xf numFmtId="164" fontId="0" fillId="0" borderId="0" xfId="0" applyNumberFormat="1" applyAlignment="1">
      <alignment horizontal="left"/>
    </xf>
    <xf numFmtId="0" fontId="1" fillId="0" borderId="0" xfId="1" applyAlignment="1">
      <alignment wrapText="1"/>
    </xf>
    <xf numFmtId="14" fontId="0" fillId="0" borderId="0" xfId="0" applyNumberFormat="1" applyAlignment="1">
      <alignment wrapText="1"/>
    </xf>
    <xf numFmtId="164" fontId="0" fillId="0" borderId="0" xfId="0" applyNumberFormat="1" applyAlignment="1">
      <alignment wrapText="1"/>
    </xf>
    <xf numFmtId="0" fontId="1" fillId="0" borderId="0" xfId="1" applyNumberFormat="1"/>
  </cellXfs>
  <cellStyles count="2">
    <cellStyle name="Hyperlink" xfId="1" builtinId="8"/>
    <cellStyle name="Normal" xfId="0" builtinId="0"/>
  </cellStyles>
  <dxfs count="22">
    <dxf>
      <numFmt numFmtId="0" formatCode="General"/>
    </dxf>
    <dxf>
      <numFmt numFmtId="0" formatCode="General"/>
    </dxf>
    <dxf>
      <numFmt numFmtId="0" formatCode="General"/>
    </dxf>
    <dxf>
      <numFmt numFmtId="164" formatCode="_([$€-2]\ * #,##0.00_);_([$€-2]\ * \(#,##0.00\);_([$€-2]\ * &quot;-&quot;??_);_(@_)"/>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yyyy/mm/dd"/>
    </dxf>
    <dxf>
      <numFmt numFmtId="19" formatCode="yyyy/mm/dd"/>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connections" Target="connections.xml"/><Relationship Id="rId10" Type="http://schemas.openxmlformats.org/officeDocument/2006/relationships/customXml" Target="../customXml/item1.xml"/><Relationship Id="rId4" Type="http://schemas.openxmlformats.org/officeDocument/2006/relationships/theme" Target="theme/theme1.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6C9B154B-87AF-40EF-9A72-69A0DAF36F00}" autoFormatId="16" applyNumberFormats="0" applyBorderFormats="0" applyFontFormats="0" applyPatternFormats="0" applyAlignmentFormats="0" applyWidthHeightFormats="0">
  <queryTableRefresh nextId="26" unboundColumnsRight="1">
    <queryTableFields count="25">
      <queryTableField id="1" name="Book Id" tableColumnId="1"/>
      <queryTableField id="2" name="Title" tableColumnId="2"/>
      <queryTableField id="3" name="Author" tableColumnId="3"/>
      <queryTableField id="4" name="Author l-f" tableColumnId="4"/>
      <queryTableField id="5" name="Additional Authors" tableColumnId="5"/>
      <queryTableField id="6" name="ISBN" tableColumnId="6"/>
      <queryTableField id="7" name="ISBN13" tableColumnId="7"/>
      <queryTableField id="8" name="My Rating" tableColumnId="8"/>
      <queryTableField id="9" name="Average Rating" tableColumnId="9"/>
      <queryTableField id="10" name="Publisher" tableColumnId="10"/>
      <queryTableField id="11" name="Binding" tableColumnId="11"/>
      <queryTableField id="12" name="Number of Pages" tableColumnId="12"/>
      <queryTableField id="13" name="Year Published" tableColumnId="13"/>
      <queryTableField id="14" name="Original Publication Year" tableColumnId="14"/>
      <queryTableField id="15" name="Date Read" tableColumnId="15"/>
      <queryTableField id="16" name="Date Added" tableColumnId="16"/>
      <queryTableField id="17" name="Bookshelves" tableColumnId="17"/>
      <queryTableField id="18" name="Bookshelves with positions" tableColumnId="18"/>
      <queryTableField id="19" name="Exclusive Shelf" tableColumnId="19"/>
      <queryTableField id="20" name="My Review" tableColumnId="20"/>
      <queryTableField id="21" name="Spoiler" tableColumnId="21"/>
      <queryTableField id="22" name="Private Notes" tableColumnId="22"/>
      <queryTableField id="23" name="Read Count" tableColumnId="23"/>
      <queryTableField id="24" name="Owned Copies" tableColumnId="24"/>
      <queryTableField id="25" dataBound="0" tableColumnId="25"/>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EDDB472-9FE8-4907-B97A-2AF9C0B3EF1E}" name="goodreads_library_export" displayName="goodreads_library_export" ref="A1:Y528" tableType="queryTable" totalsRowShown="0">
  <autoFilter ref="A1:Y528" xr:uid="{4EDDB472-9FE8-4907-B97A-2AF9C0B3EF1E}"/>
  <sortState xmlns:xlrd2="http://schemas.microsoft.com/office/spreadsheetml/2017/richdata2" ref="A2:X528">
    <sortCondition ref="B1:B528"/>
  </sortState>
  <tableColumns count="25">
    <tableColumn id="1" xr3:uid="{A26B556B-0382-4598-915F-F7700EAAB095}" uniqueName="1" name="Book Id" queryTableFieldId="1"/>
    <tableColumn id="2" xr3:uid="{186A85B3-32E3-4355-835C-5362B350F25E}" uniqueName="2" name="Title" queryTableFieldId="2" dataDxfId="21"/>
    <tableColumn id="3" xr3:uid="{AC76A093-EDE0-41F5-8FC4-1259FEA561B1}" uniqueName="3" name="Author" queryTableFieldId="3" dataDxfId="20"/>
    <tableColumn id="4" xr3:uid="{40AB39DE-1648-4A47-934C-A855182ABFB2}" uniqueName="4" name="Author l-f" queryTableFieldId="4" dataDxfId="19"/>
    <tableColumn id="5" xr3:uid="{B7D31A8D-F7E6-4B07-A59A-6E15D213EC5E}" uniqueName="5" name="Additional Authors" queryTableFieldId="5" dataDxfId="18"/>
    <tableColumn id="6" xr3:uid="{524E4DF2-A98D-49D8-8D8A-542C90A9CD06}" uniqueName="6" name="ISBN" queryTableFieldId="6" dataDxfId="17"/>
    <tableColumn id="7" xr3:uid="{28827694-3249-4B43-BF18-003D3FEC9082}" uniqueName="7" name="ISBN13" queryTableFieldId="7" dataDxfId="16"/>
    <tableColumn id="8" xr3:uid="{FD08DBFD-8709-4DE9-A26F-826E0DEA2E13}" uniqueName="8" name="My Rating" queryTableFieldId="8"/>
    <tableColumn id="9" xr3:uid="{3F846D62-1A6E-442B-B620-F04199AE2E05}" uniqueName="9" name="Average Rating" queryTableFieldId="9"/>
    <tableColumn id="10" xr3:uid="{344055F7-B728-41D7-B745-1B3A3B64303D}" uniqueName="10" name="Publisher" queryTableFieldId="10" dataDxfId="15"/>
    <tableColumn id="11" xr3:uid="{3C1DBE73-E250-4F04-8D97-600ED6E44868}" uniqueName="11" name="Binding" queryTableFieldId="11" dataDxfId="14"/>
    <tableColumn id="12" xr3:uid="{9268DFE3-9BD5-4FFF-A5A0-87B09D5AC9E4}" uniqueName="12" name="Number of Pages" queryTableFieldId="12"/>
    <tableColumn id="13" xr3:uid="{08B85D58-E8C4-4549-8E1D-2131B8F4822C}" uniqueName="13" name="Year Published" queryTableFieldId="13"/>
    <tableColumn id="14" xr3:uid="{9EB9DDE5-0177-47B8-BFFB-362A1FBCCE23}" uniqueName="14" name="Original Publication Year" queryTableFieldId="14"/>
    <tableColumn id="15" xr3:uid="{A3B2AE9F-FE45-462D-9AAC-7DB697188B7F}" uniqueName="15" name="Date Read" queryTableFieldId="15" dataDxfId="13"/>
    <tableColumn id="16" xr3:uid="{718C5533-B97C-4AF8-B08D-B0C8EB77F886}" uniqueName="16" name="Date Added" queryTableFieldId="16" dataDxfId="12"/>
    <tableColumn id="17" xr3:uid="{EC615670-BAB2-4B11-953E-01F6CA2C7176}" uniqueName="17" name="Bookshelves" queryTableFieldId="17" dataDxfId="11"/>
    <tableColumn id="18" xr3:uid="{B30E792B-CE1B-40A1-AFF9-8AE951156EDC}" uniqueName="18" name="Bookshelves with positions" queryTableFieldId="18" dataDxfId="10"/>
    <tableColumn id="19" xr3:uid="{0D6785A2-3972-49F4-A65E-71D2EE63526E}" uniqueName="19" name="Exclusive Shelf" queryTableFieldId="19" dataDxfId="9"/>
    <tableColumn id="20" xr3:uid="{333D23E5-84B8-45B9-94D8-1EB2175C64E1}" uniqueName="20" name="My Review" queryTableFieldId="20" dataDxfId="8"/>
    <tableColumn id="21" xr3:uid="{9B73062D-0C8C-4976-80FB-9D6CF853F755}" uniqueName="21" name="Spoiler" queryTableFieldId="21" dataDxfId="7"/>
    <tableColumn id="22" xr3:uid="{D7D32CCA-B3A5-464C-A44F-CD097F1C5C5D}" uniqueName="22" name="Private Notes" queryTableFieldId="22" dataDxfId="6"/>
    <tableColumn id="23" xr3:uid="{5E063E4E-0E1C-4E38-A488-DFDED69EBF76}" uniqueName="23" name="Read Count" queryTableFieldId="23"/>
    <tableColumn id="24" xr3:uid="{CC338283-B2D8-468F-80FD-46F46616BDCE}" uniqueName="24" name="Owned Copies" queryTableFieldId="24"/>
    <tableColumn id="25" xr3:uid="{78082C0C-402F-4FE9-8B53-199FE40BE3BB}" uniqueName="25" name="Price" queryTableFieldId="25" dataDxfId="5"/>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87F3EC1-A86E-4FE5-BDFD-930DF12B650B}" name="Table1" displayName="Table1" ref="A1:K57" totalsRowShown="0">
  <autoFilter ref="A1:K57" xr:uid="{587F3EC1-A86E-4FE5-BDFD-930DF12B650B}"/>
  <sortState xmlns:xlrd2="http://schemas.microsoft.com/office/spreadsheetml/2017/richdata2" ref="A2:K48">
    <sortCondition ref="C1:C48"/>
  </sortState>
  <tableColumns count="11">
    <tableColumn id="7" xr3:uid="{F2710581-E8AE-4DB8-8BAF-55F929CB2A4C}" name="Book Id"/>
    <tableColumn id="8" xr3:uid="{C3220BFD-9722-4EE1-84B5-40D55222CC7C}" name="ASIN"/>
    <tableColumn id="1" xr3:uid="{4C7073E8-FCAF-41FE-9E65-90A51B75F6AA}" name="Title"/>
    <tableColumn id="5" xr3:uid="{660A6388-7A21-4FC5-A640-046229BABA96}" name="Authors"/>
    <tableColumn id="2" xr3:uid="{2EA33095-53D2-4A63-870D-C286C711D26F}" name="Purchase Date" dataDxfId="4"/>
    <tableColumn id="3" xr3:uid="{EDCFCEDD-318C-4D18-AD34-5F7F7D7B7A7D}" name="Price" dataDxfId="3"/>
    <tableColumn id="6" xr3:uid="{7B874782-A2F2-41DC-81D9-6B16DBF8DA10}" name="Price(USD)"/>
    <tableColumn id="4" xr3:uid="{B6688520-8D65-47BA-B59D-97B86908C823}" name="Purchased at"/>
    <tableColumn id="9" xr3:uid="{7B744974-629F-4B04-B4B8-5331D2B9FF85}" name="Amazon Link" dataDxfId="2">
      <calculatedColumnFormula>HYPERLINK(_xlfn.CONCAT("https://smile.",LOWER(Table1[[#This Row],[Purchased at]]),"/dp/",Table1[[#This Row],[ASIN]]),"Link")</calculatedColumnFormula>
    </tableColumn>
    <tableColumn id="10" xr3:uid="{16815F15-2E32-42A7-AC38-8F556D90C99F}" name="Goodreads Link" dataDxfId="1">
      <calculatedColumnFormula>HYPERLINK(_xlfn.CONCAT("https://www.goodreads.com/book/show/",Table1[[#This Row],[Book Id]]),"Link")</calculatedColumnFormula>
    </tableColumn>
    <tableColumn id="11" xr3:uid="{FFDCE6F8-C50E-47EE-815D-1E519311D82F}" name="GR Edit" dataDxfId="0">
      <calculatedColumnFormula>HYPERLINK(_xlfn.CONCAT("https://www.goodreads.com/review/new/",Table1[[#This Row],[Book Id]]),"Link")</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smile.amazon.com/dp/B004CR6ALA" TargetMode="External"/><Relationship Id="rId13" Type="http://schemas.openxmlformats.org/officeDocument/2006/relationships/hyperlink" Target="https://www.amazon.com/gp/r.html?C=O5ID2HJ90BI3&amp;K=3T93QM7ILH665&amp;M=urn:rtn:msg:20210603203755d3ce30530adf4be8bd3e94917d50p0na&amp;R=2M56WQF2THH0R&amp;T=C&amp;U=https%3A%2F%2Fwww.amazon.com%2Fdp%2FB08YRX3MTQ%2Fref%3Dpe_385040_118058080_TE_M1DP&amp;H=ZYE5AROYWGM8FMVJEA4ARSGZA0CA&amp;ref_=pe_385040_118058080_TE_M1DP" TargetMode="External"/><Relationship Id="rId18" Type="http://schemas.openxmlformats.org/officeDocument/2006/relationships/hyperlink" Target="https://www.amazon.com/gp/r.html?C=O5ID2HJ90BI3&amp;K=3T93QM7ILH665&amp;M=urn:rtn:msg:20201123181514f183a436ab874ea49231a8597950p0na&amp;R=3EP4EA2LF2UH&amp;T=C&amp;U=https%3A%2F%2Fwww.amazon.com%2Fdp%2FB08NXTHM26%2Fref%3Dpe_385040_118058080_TE_M1DP&amp;H=JGLT8ZREQQVUEEJG8ID3TSXFQUQA&amp;ref_=pe_385040_118058080_TE_M1DP" TargetMode="External"/><Relationship Id="rId26" Type="http://schemas.openxmlformats.org/officeDocument/2006/relationships/hyperlink" Target="https://www.amazon.de/dp/B0043M4ZH0/" TargetMode="External"/><Relationship Id="rId3" Type="http://schemas.openxmlformats.org/officeDocument/2006/relationships/hyperlink" Target="https://smile.amazon.de/dp/B00NDTUDOS/" TargetMode="External"/><Relationship Id="rId21" Type="http://schemas.openxmlformats.org/officeDocument/2006/relationships/hyperlink" Target="https://www.amazon.com/gp/r.html?C=O5ID2HJ90BI3&amp;K=3T93QM7ILH665&amp;M=urn:rtn:msg:202007091850132baec4c2f4984a549874df8686f0p0na&amp;R=1L0DCL1E908VM&amp;T=C&amp;U=https%3A%2F%2Fwww.amazon.com%2Fdp%2FB083YZTW4B%2Fref%3Dpe_385040_118058080_TE_M1DP&amp;H=Y3C6KPN7WAH4PD5DCDSEVSGIPIAA&amp;ref_=pe_385040_118058080_TE_M1DP" TargetMode="External"/><Relationship Id="rId7" Type="http://schemas.openxmlformats.org/officeDocument/2006/relationships/hyperlink" Target="https://smile.amazon.de/dp/B0861JPR77" TargetMode="External"/><Relationship Id="rId12" Type="http://schemas.openxmlformats.org/officeDocument/2006/relationships/hyperlink" Target="https://smile.amazon.com/dp/B07RP7TR12/ref=docs-os-doi_0" TargetMode="External"/><Relationship Id="rId17" Type="http://schemas.openxmlformats.org/officeDocument/2006/relationships/hyperlink" Target="https://www.amazon.com/gp/r.html?C=O5ID2HJ90BI3&amp;K=3T93QM7ILH665&amp;M=urn:rtn:msg:20210331220144c36a4af8851b4d42911b241309e0p0na&amp;R=18DX92M28ID65&amp;T=C&amp;U=https%3A%2F%2Fwww.amazon.com%2Fdp%2FB072N6MQ5V%2Fref%3Dpe_385040_118058080_TE_M1DP&amp;H=QWCY7EAOFJY5EVKAIGYMC9PYIOKA&amp;ref_=pe_385040_118058080_TE_M1DP" TargetMode="External"/><Relationship Id="rId25" Type="http://schemas.openxmlformats.org/officeDocument/2006/relationships/hyperlink" Target="https://www.amazon.de/gp/r.html?C=34DQ2ADJHS3K0&amp;K=2HCVWSB99FZVD&amp;M=urn:rtn:msg:202301141333017780cd81d0e346c88c3ac56738e0p0eu&amp;R=38BZ3LMXICL5R&amp;T=C&amp;U=https%3A%2F%2Fwww.amazon.de%2Fdp%2FB097XNT4RT%2Fref%3Dpe_39220511_640034271_TE_M1DP&amp;H=X0CMYJHLUNZYB1U9ZILWAN5L3PCA&amp;ref_=pe_39220511_640034271_TE_M1DP" TargetMode="External"/><Relationship Id="rId2" Type="http://schemas.openxmlformats.org/officeDocument/2006/relationships/hyperlink" Target="https://smile.amazon.com/dp/B01HMXV236/ref=docs-os-doi_0" TargetMode="External"/><Relationship Id="rId16" Type="http://schemas.openxmlformats.org/officeDocument/2006/relationships/hyperlink" Target="https://www.amazon.com/gp/r.html?C=O5ID2HJ90BI3&amp;K=3T93QM7ILH665&amp;M=urn:rtn:msg:20210331220144c36a4af8851b4d42911b241309e0p0na&amp;R=3F0G77OW6M2AE&amp;T=C&amp;U=https%3A%2F%2Fwww.amazon.com%2Fdp%2FB083HL8RLK%2Fref%3Dpe_385040_118058080_TE_M1DP&amp;H=WOAL9JQAE3YONUPKPMV0RJIIOLMA&amp;ref_=pe_385040_118058080_TE_M1DP" TargetMode="External"/><Relationship Id="rId20" Type="http://schemas.openxmlformats.org/officeDocument/2006/relationships/hyperlink" Target="https://www.amazon.com/gp/r.html?C=O5ID2HJ90BI3&amp;K=3T93QM7ILH665&amp;M=urn:rtn:msg:202010231810354bad76c3b8e946c68aa5bc417180p0na&amp;R=2M9A2VDKVEZF1&amp;T=C&amp;U=https%3A%2F%2Fwww.amazon.com%2Fdp%2FB00JSRQSJS%2Fref%3Dpe_385040_118058080_TE_M1DP&amp;H=NXLKGCJBVYBDQAT9YDK0MAQUYIWA&amp;ref_=pe_385040_118058080_TE_M1DP" TargetMode="External"/><Relationship Id="rId1" Type="http://schemas.openxmlformats.org/officeDocument/2006/relationships/hyperlink" Target="https://www.amazon.de/gp/r.html?C=34DQ2ADJHS3K0&amp;K=2HCVWSB99FZVD&amp;M=urn:rtn:msg:2023011218151155db921755c94b679a941dac7f30p0eu&amp;R=2QUWMASGWARS&amp;T=C&amp;U=https%3A%2F%2Fwww.amazon.de%2Fdp%2FB07Q4LY2CV%2Fref%3Dpe_39220511_640034271_TE_M1DP&amp;H=OGPANZAQVEVAAKOCYBBUPDFNXAOA&amp;ref_=pe_39220511_640034271_TE_M1DP" TargetMode="External"/><Relationship Id="rId6" Type="http://schemas.openxmlformats.org/officeDocument/2006/relationships/hyperlink" Target="https://smile.amazon.de/dp/B01BBQ33VE" TargetMode="External"/><Relationship Id="rId11" Type="http://schemas.openxmlformats.org/officeDocument/2006/relationships/hyperlink" Target="https://smile.amazon.com/dp/B00MEMMVB8/ref=docs-os-doi_0" TargetMode="External"/><Relationship Id="rId24" Type="http://schemas.openxmlformats.org/officeDocument/2006/relationships/hyperlink" Target="https://www.amazon.com/gp/r.html?C=O5ID2HJ90BI3&amp;K=3T93QM7ILH665&amp;M=urn:rtn:msg:2020050415554794b4d3362bb446acba4af2960900p0na&amp;R=311ZGSNJY3K8R&amp;T=C&amp;U=https%3A%2F%2Fwww.amazon.com%2Fdp%2FB007P7HRS4%2Fref%3Dpe_385040_118058080_TE_M1DP&amp;H=HSOQXITY9TRQNLVEDIAOWACGRAAA&amp;ref_=pe_385040_118058080_TE_M1DP" TargetMode="External"/><Relationship Id="rId5" Type="http://schemas.openxmlformats.org/officeDocument/2006/relationships/hyperlink" Target="https://smile.amazon.com/dp/B0BKWW984W" TargetMode="External"/><Relationship Id="rId15" Type="http://schemas.openxmlformats.org/officeDocument/2006/relationships/hyperlink" Target="https://www.amazon.com/gp/r.html?C=O5ID2HJ90BI3&amp;K=3T93QM7ILH665&amp;M=urn:rtn:msg:20210331220144c36a4af8851b4d42911b241309e0p0na&amp;R=YADSXGNNOPRP&amp;T=C&amp;U=https%3A%2F%2Fwww.amazon.com%2Fdp%2FB01HHJF542%2Fref%3Dpe_385040_118058080_TE_M1DP&amp;H=9WLABAYY7GO8QRFFKMNA0OWNVZ8A&amp;ref_=pe_385040_118058080_TE_M1DP" TargetMode="External"/><Relationship Id="rId23" Type="http://schemas.openxmlformats.org/officeDocument/2006/relationships/hyperlink" Target="https://www.amazon.com/gp/r.html?C=O5ID2HJ90BI3&amp;K=3T93QM7ILH665&amp;M=urn:rtn:msg:20200519042315253b739dd6ca42f7b4c81cb38d30p0na&amp;R=38THVK09FEGG2&amp;T=C&amp;U=https%3A%2F%2Fwww.amazon.com%2Fdp%2FB079WM7KLS%2Fref%3Dpe_385040_118058080_TE_M1DP&amp;H=2SU11LNXRNB4XBF6MZN7DGAIS7EA&amp;ref_=pe_385040_118058080_TE_M1DP" TargetMode="External"/><Relationship Id="rId28" Type="http://schemas.openxmlformats.org/officeDocument/2006/relationships/table" Target="../tables/table2.xml"/><Relationship Id="rId10" Type="http://schemas.openxmlformats.org/officeDocument/2006/relationships/hyperlink" Target="https://smile.amazon.com/dp/B089GM2W99/ref=docs-os-doi_0" TargetMode="External"/><Relationship Id="rId19" Type="http://schemas.openxmlformats.org/officeDocument/2006/relationships/hyperlink" Target="https://www.amazon.com/gp/r.html?C=O5ID2HJ90BI3&amp;K=3T93QM7ILH665&amp;M=urn:rtn:msg:20201103173624cac9672ba02b45e98956edfdb1e0p0na&amp;R=BI1RY0WXU6ZC&amp;T=C&amp;U=https%3A%2F%2Fwww.amazon.com%2Fdp%2FB00AHC9PZW%2Fref%3Dpe_385040_118058080_TE_M1DP&amp;H=SNGFAJYDSMT3GNZVOGKPF7HLFX0A&amp;ref_=pe_385040_118058080_TE_M1DP" TargetMode="External"/><Relationship Id="rId4" Type="http://schemas.openxmlformats.org/officeDocument/2006/relationships/hyperlink" Target="https://smile.amazon.de/dp/B09BTK4ZST/ref=pe_39220511_640034271_TE_M1DP" TargetMode="External"/><Relationship Id="rId9" Type="http://schemas.openxmlformats.org/officeDocument/2006/relationships/hyperlink" Target="https://smile.amazon.com/dp/B017WS32NO/ref=docs-os-doi_0" TargetMode="External"/><Relationship Id="rId14" Type="http://schemas.openxmlformats.org/officeDocument/2006/relationships/hyperlink" Target="https://www.amazon.com/gp/r.html?C=3UE7YV4YZ5PH3&amp;K=3T93QM7ILH665&amp;M=urn:rtn:msg:202104050820569877541554664fdd9df9ec34b580p0na&amp;R=28B3FJB0ELVLC&amp;T=C&amp;U=https%3A%2F%2Fwww.amazon.com%2Fdp%2FB014BMONTG%2Fref%3Dpe_385040_117923520_TE_M1DP&amp;H=KS2THBA2N2HT1LRXOE0APGSIG50A&amp;ref_=pe_385040_117923520_TE_M1DP" TargetMode="External"/><Relationship Id="rId22" Type="http://schemas.openxmlformats.org/officeDocument/2006/relationships/hyperlink" Target="https://www.amazon.com/gp/r.html?C=O5ID2HJ90BI3&amp;K=3T93QM7ILH665&amp;M=urn:rtn:msg:20200624193532b5cebb64b22944389b0f16289b30p0na&amp;R=16T3YFV9U6ROM&amp;T=C&amp;U=https%3A%2F%2Fwww.amazon.com%2Fdp%2FB01IA6FM76%2Fref%3Dpe_385040_118058080_TE_M1DP&amp;H=X4FPRAT4Q2XCUIQPAA69P2Z6TKYA&amp;ref_=pe_385040_118058080_TE_M1DP" TargetMode="External"/><Relationship Id="rId27"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goodreads.com/review/impor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A476CF-1A8E-4CED-8591-7C5070E5E449}">
  <dimension ref="A1:Y528"/>
  <sheetViews>
    <sheetView topLeftCell="O1" workbookViewId="0">
      <selection activeCell="Y2" sqref="Y2"/>
    </sheetView>
  </sheetViews>
  <sheetFormatPr defaultRowHeight="15" x14ac:dyDescent="0.25"/>
  <cols>
    <col min="1" max="1" width="9.85546875" bestFit="1" customWidth="1"/>
    <col min="2" max="2" width="81.140625" bestFit="1" customWidth="1"/>
    <col min="3" max="3" width="28.5703125" bestFit="1" customWidth="1"/>
    <col min="4" max="4" width="29.140625" bestFit="1" customWidth="1"/>
    <col min="5" max="5" width="73" bestFit="1" customWidth="1"/>
    <col min="6" max="6" width="14" bestFit="1" customWidth="1"/>
    <col min="7" max="7" width="16.85546875" bestFit="1" customWidth="1"/>
    <col min="8" max="8" width="12.140625" bestFit="1" customWidth="1"/>
    <col min="9" max="9" width="16.7109375" bestFit="1" customWidth="1"/>
    <col min="10" max="10" width="51.140625" bestFit="1" customWidth="1"/>
    <col min="11" max="11" width="22.140625" bestFit="1" customWidth="1"/>
    <col min="12" max="12" width="18.5703125" bestFit="1" customWidth="1"/>
    <col min="13" max="13" width="16.7109375" bestFit="1" customWidth="1"/>
    <col min="14" max="14" width="25.5703125" bestFit="1" customWidth="1"/>
    <col min="15" max="15" width="12.28515625" bestFit="1" customWidth="1"/>
    <col min="16" max="16" width="13.7109375" bestFit="1" customWidth="1"/>
    <col min="17" max="17" width="34.28515625" bestFit="1" customWidth="1"/>
    <col min="18" max="18" width="47.28515625" bestFit="1" customWidth="1"/>
    <col min="19" max="19" width="16.5703125" bestFit="1" customWidth="1"/>
    <col min="20" max="20" width="81.140625" bestFit="1" customWidth="1"/>
    <col min="21" max="21" width="9.5703125" bestFit="1" customWidth="1"/>
    <col min="22" max="22" width="15.42578125" bestFit="1" customWidth="1"/>
    <col min="23" max="23" width="13.42578125" bestFit="1" customWidth="1"/>
    <col min="24" max="24" width="16.28515625" bestFit="1" customWidth="1"/>
  </cols>
  <sheetData>
    <row r="1" spans="1:25" x14ac:dyDescent="0.25">
      <c r="A1" t="s">
        <v>94</v>
      </c>
      <c r="B1" t="s">
        <v>0</v>
      </c>
      <c r="C1" t="s">
        <v>8</v>
      </c>
      <c r="D1" t="s">
        <v>95</v>
      </c>
      <c r="E1" t="s">
        <v>96</v>
      </c>
      <c r="F1" t="s">
        <v>97</v>
      </c>
      <c r="G1" t="s">
        <v>98</v>
      </c>
      <c r="H1" t="s">
        <v>99</v>
      </c>
      <c r="I1" t="s">
        <v>100</v>
      </c>
      <c r="J1" t="s">
        <v>101</v>
      </c>
      <c r="K1" t="s">
        <v>102</v>
      </c>
      <c r="L1" t="s">
        <v>103</v>
      </c>
      <c r="M1" t="s">
        <v>104</v>
      </c>
      <c r="N1" t="s">
        <v>105</v>
      </c>
      <c r="O1" t="s">
        <v>106</v>
      </c>
      <c r="P1" t="s">
        <v>107</v>
      </c>
      <c r="Q1" t="s">
        <v>108</v>
      </c>
      <c r="R1" t="s">
        <v>109</v>
      </c>
      <c r="S1" t="s">
        <v>110</v>
      </c>
      <c r="T1" t="s">
        <v>111</v>
      </c>
      <c r="U1" t="s">
        <v>112</v>
      </c>
      <c r="V1" t="s">
        <v>113</v>
      </c>
      <c r="W1" t="s">
        <v>114</v>
      </c>
      <c r="X1" t="s">
        <v>115</v>
      </c>
      <c r="Y1" t="s">
        <v>2</v>
      </c>
    </row>
    <row r="2" spans="1:25" x14ac:dyDescent="0.25">
      <c r="A2">
        <v>22038392</v>
      </c>
      <c r="B2" t="s">
        <v>2808</v>
      </c>
      <c r="C2" t="s">
        <v>302</v>
      </c>
      <c r="D2" t="s">
        <v>303</v>
      </c>
      <c r="E2" t="s">
        <v>119</v>
      </c>
      <c r="F2" t="s">
        <v>120</v>
      </c>
      <c r="G2" t="s">
        <v>2809</v>
      </c>
      <c r="H2">
        <v>0</v>
      </c>
      <c r="I2">
        <v>4.3</v>
      </c>
      <c r="J2" t="s">
        <v>2810</v>
      </c>
      <c r="K2" t="s">
        <v>273</v>
      </c>
      <c r="L2">
        <v>429</v>
      </c>
      <c r="M2">
        <v>2014</v>
      </c>
      <c r="N2">
        <v>2014</v>
      </c>
      <c r="O2" s="2"/>
      <c r="P2" s="2">
        <v>42382</v>
      </c>
      <c r="Q2" t="s">
        <v>2285</v>
      </c>
      <c r="R2" t="s">
        <v>2811</v>
      </c>
      <c r="S2" t="s">
        <v>132</v>
      </c>
      <c r="T2" t="s">
        <v>119</v>
      </c>
      <c r="U2" t="s">
        <v>119</v>
      </c>
      <c r="V2" t="s">
        <v>119</v>
      </c>
      <c r="W2">
        <v>0</v>
      </c>
      <c r="X2">
        <v>0</v>
      </c>
    </row>
    <row r="3" spans="1:25" x14ac:dyDescent="0.25">
      <c r="A3">
        <v>926206</v>
      </c>
      <c r="B3" t="s">
        <v>873</v>
      </c>
      <c r="C3" t="s">
        <v>869</v>
      </c>
      <c r="D3" t="s">
        <v>870</v>
      </c>
      <c r="E3" t="s">
        <v>119</v>
      </c>
      <c r="F3" t="s">
        <v>874</v>
      </c>
      <c r="G3" t="s">
        <v>875</v>
      </c>
      <c r="H3">
        <v>0</v>
      </c>
      <c r="I3">
        <v>4.28</v>
      </c>
      <c r="J3" t="s">
        <v>876</v>
      </c>
      <c r="K3" t="s">
        <v>147</v>
      </c>
      <c r="L3">
        <v>158</v>
      </c>
      <c r="M3">
        <v>2002</v>
      </c>
      <c r="N3">
        <v>2001</v>
      </c>
      <c r="O3" s="2"/>
      <c r="P3" s="2">
        <v>44441</v>
      </c>
      <c r="Q3" t="s">
        <v>132</v>
      </c>
      <c r="R3" t="s">
        <v>877</v>
      </c>
      <c r="S3" t="s">
        <v>132</v>
      </c>
      <c r="T3" t="s">
        <v>119</v>
      </c>
      <c r="U3" t="s">
        <v>119</v>
      </c>
      <c r="V3" t="s">
        <v>119</v>
      </c>
      <c r="W3">
        <v>0</v>
      </c>
      <c r="X3">
        <v>0</v>
      </c>
    </row>
    <row r="4" spans="1:25" x14ac:dyDescent="0.25">
      <c r="A4">
        <v>18505796</v>
      </c>
      <c r="B4" t="s">
        <v>2539</v>
      </c>
      <c r="C4" t="s">
        <v>578</v>
      </c>
      <c r="D4" t="s">
        <v>579</v>
      </c>
      <c r="E4" t="s">
        <v>119</v>
      </c>
      <c r="F4" t="s">
        <v>2540</v>
      </c>
      <c r="G4" t="s">
        <v>2541</v>
      </c>
      <c r="H4">
        <v>4</v>
      </c>
      <c r="I4">
        <v>3.92</v>
      </c>
      <c r="J4" t="s">
        <v>2542</v>
      </c>
      <c r="K4" t="s">
        <v>147</v>
      </c>
      <c r="L4">
        <v>256</v>
      </c>
      <c r="M4">
        <v>2014</v>
      </c>
      <c r="N4">
        <v>2014</v>
      </c>
      <c r="O4" s="2">
        <v>42919</v>
      </c>
      <c r="P4" s="2">
        <v>42165</v>
      </c>
      <c r="Q4" t="s">
        <v>882</v>
      </c>
      <c r="R4" t="s">
        <v>2543</v>
      </c>
      <c r="S4" t="s">
        <v>125</v>
      </c>
      <c r="T4" t="s">
        <v>119</v>
      </c>
      <c r="U4" t="s">
        <v>119</v>
      </c>
      <c r="V4" t="s">
        <v>119</v>
      </c>
      <c r="W4">
        <v>1</v>
      </c>
      <c r="X4">
        <v>0</v>
      </c>
    </row>
    <row r="5" spans="1:25" x14ac:dyDescent="0.25">
      <c r="A5">
        <v>40961427</v>
      </c>
      <c r="B5" t="s">
        <v>638</v>
      </c>
      <c r="C5" t="s">
        <v>639</v>
      </c>
      <c r="D5" t="s">
        <v>640</v>
      </c>
      <c r="E5" t="s">
        <v>119</v>
      </c>
      <c r="F5" t="s">
        <v>120</v>
      </c>
      <c r="G5" t="s">
        <v>120</v>
      </c>
      <c r="H5">
        <v>4</v>
      </c>
      <c r="I5">
        <v>4.1900000000000004</v>
      </c>
      <c r="J5" t="s">
        <v>457</v>
      </c>
      <c r="K5" t="s">
        <v>122</v>
      </c>
      <c r="L5">
        <v>298</v>
      </c>
      <c r="M5">
        <v>2013</v>
      </c>
      <c r="N5">
        <v>1949</v>
      </c>
      <c r="O5" s="2"/>
      <c r="P5" s="2">
        <v>44595</v>
      </c>
      <c r="Q5" t="s">
        <v>636</v>
      </c>
      <c r="R5" t="s">
        <v>641</v>
      </c>
      <c r="S5" t="s">
        <v>125</v>
      </c>
      <c r="T5" t="s">
        <v>119</v>
      </c>
      <c r="U5" t="s">
        <v>119</v>
      </c>
      <c r="V5" t="s">
        <v>119</v>
      </c>
      <c r="W5">
        <v>1</v>
      </c>
      <c r="X5">
        <v>0</v>
      </c>
    </row>
    <row r="6" spans="1:25" x14ac:dyDescent="0.25">
      <c r="A6">
        <v>10357575</v>
      </c>
      <c r="B6" t="s">
        <v>2341</v>
      </c>
      <c r="C6" t="s">
        <v>915</v>
      </c>
      <c r="D6" t="s">
        <v>916</v>
      </c>
      <c r="E6" t="s">
        <v>2342</v>
      </c>
      <c r="F6" t="s">
        <v>2343</v>
      </c>
      <c r="G6" t="s">
        <v>2344</v>
      </c>
      <c r="H6">
        <v>4</v>
      </c>
      <c r="I6">
        <v>3.94</v>
      </c>
      <c r="J6" t="s">
        <v>693</v>
      </c>
      <c r="K6" t="s">
        <v>147</v>
      </c>
      <c r="L6">
        <v>925</v>
      </c>
      <c r="M6">
        <v>2011</v>
      </c>
      <c r="N6">
        <v>2009</v>
      </c>
      <c r="O6" s="2">
        <v>43113</v>
      </c>
      <c r="P6" s="2">
        <v>42307</v>
      </c>
      <c r="Q6" t="s">
        <v>609</v>
      </c>
      <c r="R6" t="s">
        <v>2345</v>
      </c>
      <c r="S6" t="s">
        <v>125</v>
      </c>
      <c r="T6" t="s">
        <v>119</v>
      </c>
      <c r="U6" t="s">
        <v>119</v>
      </c>
      <c r="V6" t="s">
        <v>119</v>
      </c>
      <c r="W6">
        <v>2</v>
      </c>
      <c r="X6">
        <v>0</v>
      </c>
    </row>
    <row r="7" spans="1:25" x14ac:dyDescent="0.25">
      <c r="A7">
        <v>38820046</v>
      </c>
      <c r="B7" t="s">
        <v>86</v>
      </c>
      <c r="C7" t="s">
        <v>50</v>
      </c>
      <c r="D7" t="s">
        <v>316</v>
      </c>
      <c r="E7" t="s">
        <v>119</v>
      </c>
      <c r="F7" t="s">
        <v>1409</v>
      </c>
      <c r="G7" t="s">
        <v>1410</v>
      </c>
      <c r="H7">
        <v>5</v>
      </c>
      <c r="I7">
        <v>4.18</v>
      </c>
      <c r="J7" t="s">
        <v>210</v>
      </c>
      <c r="K7" t="s">
        <v>147</v>
      </c>
      <c r="L7">
        <v>372</v>
      </c>
      <c r="M7">
        <v>2018</v>
      </c>
      <c r="N7">
        <v>2018</v>
      </c>
      <c r="O7" s="2">
        <v>44059</v>
      </c>
      <c r="P7" s="2">
        <v>43991</v>
      </c>
      <c r="Q7" t="s">
        <v>119</v>
      </c>
      <c r="R7" t="s">
        <v>119</v>
      </c>
      <c r="S7" t="s">
        <v>125</v>
      </c>
      <c r="T7" t="s">
        <v>119</v>
      </c>
      <c r="U7" t="s">
        <v>119</v>
      </c>
      <c r="V7" t="s">
        <v>119</v>
      </c>
      <c r="W7">
        <v>1</v>
      </c>
      <c r="X7">
        <v>0</v>
      </c>
    </row>
    <row r="8" spans="1:25" x14ac:dyDescent="0.25">
      <c r="A8">
        <v>22960622</v>
      </c>
      <c r="B8" t="s">
        <v>2777</v>
      </c>
      <c r="C8" t="s">
        <v>2778</v>
      </c>
      <c r="D8" t="s">
        <v>2779</v>
      </c>
      <c r="E8" t="s">
        <v>119</v>
      </c>
      <c r="F8" t="s">
        <v>2780</v>
      </c>
      <c r="G8" t="s">
        <v>2781</v>
      </c>
      <c r="H8">
        <v>4</v>
      </c>
      <c r="I8">
        <v>3.76</v>
      </c>
      <c r="J8" t="s">
        <v>201</v>
      </c>
      <c r="K8" t="s">
        <v>147</v>
      </c>
      <c r="L8">
        <v>272</v>
      </c>
      <c r="M8">
        <v>2015</v>
      </c>
      <c r="N8">
        <v>2015</v>
      </c>
      <c r="O8" s="2">
        <v>42493</v>
      </c>
      <c r="P8" s="2">
        <v>42416</v>
      </c>
      <c r="Q8" t="s">
        <v>2322</v>
      </c>
      <c r="R8" t="s">
        <v>2782</v>
      </c>
      <c r="S8" t="s">
        <v>125</v>
      </c>
      <c r="T8" t="s">
        <v>2783</v>
      </c>
      <c r="U8" t="s">
        <v>119</v>
      </c>
      <c r="V8" t="s">
        <v>119</v>
      </c>
      <c r="W8">
        <v>1</v>
      </c>
      <c r="X8">
        <v>0</v>
      </c>
    </row>
    <row r="9" spans="1:25" x14ac:dyDescent="0.25">
      <c r="A9">
        <v>30244626</v>
      </c>
      <c r="B9" t="s">
        <v>1411</v>
      </c>
      <c r="C9" t="s">
        <v>85</v>
      </c>
      <c r="D9" t="s">
        <v>1412</v>
      </c>
      <c r="E9" t="s">
        <v>119</v>
      </c>
      <c r="F9" t="s">
        <v>1413</v>
      </c>
      <c r="G9" t="s">
        <v>1414</v>
      </c>
      <c r="H9">
        <v>5</v>
      </c>
      <c r="I9">
        <v>3.95</v>
      </c>
      <c r="J9" t="s">
        <v>1415</v>
      </c>
      <c r="K9" t="s">
        <v>147</v>
      </c>
      <c r="L9">
        <v>866</v>
      </c>
      <c r="M9">
        <v>2017</v>
      </c>
      <c r="N9">
        <v>2017</v>
      </c>
      <c r="O9" s="2">
        <v>44039</v>
      </c>
      <c r="P9" s="2">
        <v>42744</v>
      </c>
      <c r="Q9" t="s">
        <v>609</v>
      </c>
      <c r="R9" t="s">
        <v>1416</v>
      </c>
      <c r="S9" t="s">
        <v>125</v>
      </c>
      <c r="T9" t="s">
        <v>1417</v>
      </c>
      <c r="U9" t="s">
        <v>119</v>
      </c>
      <c r="V9" t="s">
        <v>119</v>
      </c>
      <c r="W9">
        <v>1</v>
      </c>
      <c r="X9">
        <v>0</v>
      </c>
    </row>
    <row r="10" spans="1:25" x14ac:dyDescent="0.25">
      <c r="A10">
        <v>17214272</v>
      </c>
      <c r="B10" t="s">
        <v>2532</v>
      </c>
      <c r="C10" t="s">
        <v>2533</v>
      </c>
      <c r="D10" t="s">
        <v>2534</v>
      </c>
      <c r="E10" t="s">
        <v>119</v>
      </c>
      <c r="F10" t="s">
        <v>2535</v>
      </c>
      <c r="G10" t="s">
        <v>2536</v>
      </c>
      <c r="H10">
        <v>0</v>
      </c>
      <c r="I10">
        <v>4.22</v>
      </c>
      <c r="J10" t="s">
        <v>2537</v>
      </c>
      <c r="K10" t="s">
        <v>140</v>
      </c>
      <c r="L10">
        <v>240</v>
      </c>
      <c r="M10">
        <v>2013</v>
      </c>
      <c r="N10">
        <v>2013</v>
      </c>
      <c r="O10" s="2"/>
      <c r="P10" s="2">
        <v>42901</v>
      </c>
      <c r="Q10" t="s">
        <v>2498</v>
      </c>
      <c r="R10" t="s">
        <v>2538</v>
      </c>
      <c r="S10" t="s">
        <v>132</v>
      </c>
      <c r="T10" t="s">
        <v>119</v>
      </c>
      <c r="U10" t="s">
        <v>119</v>
      </c>
      <c r="V10" t="s">
        <v>119</v>
      </c>
      <c r="W10">
        <v>0</v>
      </c>
      <c r="X10">
        <v>0</v>
      </c>
    </row>
    <row r="11" spans="1:25" x14ac:dyDescent="0.25">
      <c r="A11">
        <v>3869</v>
      </c>
      <c r="B11" t="s">
        <v>2938</v>
      </c>
      <c r="C11" t="s">
        <v>46</v>
      </c>
      <c r="D11" t="s">
        <v>308</v>
      </c>
      <c r="E11" t="s">
        <v>119</v>
      </c>
      <c r="F11" t="s">
        <v>2939</v>
      </c>
      <c r="G11" t="s">
        <v>2940</v>
      </c>
      <c r="H11">
        <v>5</v>
      </c>
      <c r="I11">
        <v>4.2</v>
      </c>
      <c r="J11" t="s">
        <v>2305</v>
      </c>
      <c r="K11" t="s">
        <v>140</v>
      </c>
      <c r="L11">
        <v>213</v>
      </c>
      <c r="M11">
        <v>1998</v>
      </c>
      <c r="N11">
        <v>2005</v>
      </c>
      <c r="O11" s="2"/>
      <c r="P11" s="2">
        <v>42165</v>
      </c>
      <c r="Q11" t="s">
        <v>2418</v>
      </c>
      <c r="R11" t="s">
        <v>2941</v>
      </c>
      <c r="S11" t="s">
        <v>125</v>
      </c>
      <c r="T11" t="s">
        <v>119</v>
      </c>
      <c r="U11" t="s">
        <v>119</v>
      </c>
      <c r="V11" t="s">
        <v>119</v>
      </c>
      <c r="W11">
        <v>1</v>
      </c>
      <c r="X11">
        <v>0</v>
      </c>
    </row>
    <row r="12" spans="1:25" x14ac:dyDescent="0.25">
      <c r="A12">
        <v>23743731</v>
      </c>
      <c r="B12" t="s">
        <v>171</v>
      </c>
      <c r="C12" t="s">
        <v>36</v>
      </c>
      <c r="D12" t="s">
        <v>172</v>
      </c>
      <c r="E12" t="s">
        <v>173</v>
      </c>
      <c r="F12" t="s">
        <v>174</v>
      </c>
      <c r="G12" t="s">
        <v>175</v>
      </c>
      <c r="H12">
        <v>4</v>
      </c>
      <c r="I12">
        <v>4.05</v>
      </c>
      <c r="J12" t="s">
        <v>176</v>
      </c>
      <c r="K12" t="s">
        <v>147</v>
      </c>
      <c r="L12">
        <v>272</v>
      </c>
      <c r="M12">
        <v>2015</v>
      </c>
      <c r="N12">
        <v>2015</v>
      </c>
      <c r="O12" s="2">
        <v>43155</v>
      </c>
      <c r="P12" s="2">
        <v>43100</v>
      </c>
      <c r="Q12" t="s">
        <v>177</v>
      </c>
      <c r="R12" t="s">
        <v>178</v>
      </c>
      <c r="S12" t="s">
        <v>125</v>
      </c>
      <c r="T12" t="s">
        <v>119</v>
      </c>
      <c r="U12" t="s">
        <v>119</v>
      </c>
      <c r="V12" t="s">
        <v>119</v>
      </c>
      <c r="W12">
        <v>1</v>
      </c>
      <c r="X12">
        <v>1</v>
      </c>
    </row>
    <row r="13" spans="1:25" x14ac:dyDescent="0.25">
      <c r="A13">
        <v>167803</v>
      </c>
      <c r="B13" t="s">
        <v>2134</v>
      </c>
      <c r="C13" t="s">
        <v>2135</v>
      </c>
      <c r="D13" t="s">
        <v>2136</v>
      </c>
      <c r="E13" t="s">
        <v>119</v>
      </c>
      <c r="F13" t="s">
        <v>2137</v>
      </c>
      <c r="G13" t="s">
        <v>2138</v>
      </c>
      <c r="H13">
        <v>5</v>
      </c>
      <c r="I13">
        <v>4.3499999999999996</v>
      </c>
      <c r="J13" t="s">
        <v>2107</v>
      </c>
      <c r="K13" t="s">
        <v>140</v>
      </c>
      <c r="L13">
        <v>2408</v>
      </c>
      <c r="M13">
        <v>2002</v>
      </c>
      <c r="N13">
        <v>1927</v>
      </c>
      <c r="O13" s="2"/>
      <c r="P13" s="2">
        <v>43508</v>
      </c>
      <c r="Q13" t="s">
        <v>119</v>
      </c>
      <c r="R13" t="s">
        <v>119</v>
      </c>
      <c r="S13" t="s">
        <v>125</v>
      </c>
      <c r="T13" t="s">
        <v>119</v>
      </c>
      <c r="U13" t="s">
        <v>119</v>
      </c>
      <c r="V13" t="s">
        <v>119</v>
      </c>
      <c r="W13">
        <v>1</v>
      </c>
      <c r="X13">
        <v>0</v>
      </c>
    </row>
    <row r="14" spans="1:25" x14ac:dyDescent="0.25">
      <c r="A14">
        <v>25733505</v>
      </c>
      <c r="B14" t="s">
        <v>1543</v>
      </c>
      <c r="C14" t="s">
        <v>1544</v>
      </c>
      <c r="D14" t="s">
        <v>1545</v>
      </c>
      <c r="E14" t="s">
        <v>119</v>
      </c>
      <c r="F14" t="s">
        <v>1546</v>
      </c>
      <c r="G14" t="s">
        <v>1547</v>
      </c>
      <c r="H14">
        <v>0</v>
      </c>
      <c r="I14">
        <v>4.24</v>
      </c>
      <c r="J14" t="s">
        <v>210</v>
      </c>
      <c r="K14" t="s">
        <v>147</v>
      </c>
      <c r="L14">
        <v>416</v>
      </c>
      <c r="M14">
        <v>2016</v>
      </c>
      <c r="N14">
        <v>2016</v>
      </c>
      <c r="O14" s="2"/>
      <c r="P14" s="2">
        <v>43975</v>
      </c>
      <c r="Q14" t="s">
        <v>132</v>
      </c>
      <c r="R14" t="s">
        <v>1548</v>
      </c>
      <c r="S14" t="s">
        <v>132</v>
      </c>
      <c r="T14" t="s">
        <v>119</v>
      </c>
      <c r="U14" t="s">
        <v>119</v>
      </c>
      <c r="V14" t="s">
        <v>119</v>
      </c>
      <c r="W14">
        <v>0</v>
      </c>
      <c r="X14">
        <v>0</v>
      </c>
    </row>
    <row r="15" spans="1:25" x14ac:dyDescent="0.25">
      <c r="A15">
        <v>32919530</v>
      </c>
      <c r="B15" t="s">
        <v>2412</v>
      </c>
      <c r="C15" t="s">
        <v>2413</v>
      </c>
      <c r="D15" t="s">
        <v>2414</v>
      </c>
      <c r="E15" t="s">
        <v>2415</v>
      </c>
      <c r="F15" t="s">
        <v>2416</v>
      </c>
      <c r="G15" t="s">
        <v>2417</v>
      </c>
      <c r="H15">
        <v>4</v>
      </c>
      <c r="I15">
        <v>4.18</v>
      </c>
      <c r="J15" t="s">
        <v>495</v>
      </c>
      <c r="K15" t="s">
        <v>147</v>
      </c>
      <c r="L15">
        <v>384</v>
      </c>
      <c r="M15">
        <v>2017</v>
      </c>
      <c r="N15">
        <v>2017</v>
      </c>
      <c r="O15" s="2">
        <v>42995</v>
      </c>
      <c r="P15" s="2">
        <v>42989</v>
      </c>
      <c r="Q15" t="s">
        <v>2418</v>
      </c>
      <c r="R15" t="s">
        <v>2419</v>
      </c>
      <c r="S15" t="s">
        <v>125</v>
      </c>
      <c r="T15" t="s">
        <v>2420</v>
      </c>
      <c r="U15" t="s">
        <v>119</v>
      </c>
      <c r="V15" t="s">
        <v>119</v>
      </c>
      <c r="W15">
        <v>1</v>
      </c>
      <c r="X15">
        <v>0</v>
      </c>
    </row>
    <row r="16" spans="1:25" x14ac:dyDescent="0.25">
      <c r="A16">
        <v>76334</v>
      </c>
      <c r="B16" t="s">
        <v>2264</v>
      </c>
      <c r="C16" t="s">
        <v>1242</v>
      </c>
      <c r="D16" t="s">
        <v>1243</v>
      </c>
      <c r="E16" t="s">
        <v>119</v>
      </c>
      <c r="F16" t="s">
        <v>2265</v>
      </c>
      <c r="G16" t="s">
        <v>2266</v>
      </c>
      <c r="H16">
        <v>5</v>
      </c>
      <c r="I16">
        <v>4.13</v>
      </c>
      <c r="J16" t="s">
        <v>1354</v>
      </c>
      <c r="K16" t="s">
        <v>140</v>
      </c>
      <c r="L16">
        <v>316</v>
      </c>
      <c r="M16">
        <v>2006</v>
      </c>
      <c r="N16">
        <v>2005</v>
      </c>
      <c r="O16" s="2">
        <v>43372</v>
      </c>
      <c r="P16" s="2">
        <v>43344</v>
      </c>
      <c r="Q16" t="s">
        <v>119</v>
      </c>
      <c r="R16" t="s">
        <v>119</v>
      </c>
      <c r="S16" t="s">
        <v>125</v>
      </c>
      <c r="T16" t="s">
        <v>119</v>
      </c>
      <c r="U16" t="s">
        <v>119</v>
      </c>
      <c r="V16" t="s">
        <v>119</v>
      </c>
      <c r="W16">
        <v>1</v>
      </c>
      <c r="X16">
        <v>0</v>
      </c>
    </row>
    <row r="17" spans="1:24" x14ac:dyDescent="0.25">
      <c r="A17">
        <v>37684879</v>
      </c>
      <c r="B17" t="s">
        <v>551</v>
      </c>
      <c r="C17" t="s">
        <v>552</v>
      </c>
      <c r="D17" t="s">
        <v>553</v>
      </c>
      <c r="E17" t="s">
        <v>554</v>
      </c>
      <c r="F17" t="s">
        <v>555</v>
      </c>
      <c r="G17" t="s">
        <v>556</v>
      </c>
      <c r="H17">
        <v>0</v>
      </c>
      <c r="I17">
        <v>4.5</v>
      </c>
      <c r="J17" t="s">
        <v>557</v>
      </c>
      <c r="K17" t="s">
        <v>140</v>
      </c>
      <c r="L17">
        <v>164</v>
      </c>
      <c r="M17">
        <v>2018</v>
      </c>
      <c r="O17" s="2"/>
      <c r="P17" s="2">
        <v>44608</v>
      </c>
      <c r="Q17" t="s">
        <v>265</v>
      </c>
      <c r="R17" t="s">
        <v>558</v>
      </c>
      <c r="S17" t="s">
        <v>265</v>
      </c>
      <c r="T17" t="s">
        <v>119</v>
      </c>
      <c r="U17" t="s">
        <v>119</v>
      </c>
      <c r="V17" t="s">
        <v>119</v>
      </c>
      <c r="W17">
        <v>1</v>
      </c>
      <c r="X17">
        <v>0</v>
      </c>
    </row>
    <row r="18" spans="1:24" x14ac:dyDescent="0.25">
      <c r="A18">
        <v>6748</v>
      </c>
      <c r="B18" t="s">
        <v>524</v>
      </c>
      <c r="C18" t="s">
        <v>296</v>
      </c>
      <c r="D18" t="s">
        <v>297</v>
      </c>
      <c r="E18" t="s">
        <v>119</v>
      </c>
      <c r="F18" t="s">
        <v>525</v>
      </c>
      <c r="G18" t="s">
        <v>526</v>
      </c>
      <c r="H18">
        <v>0</v>
      </c>
      <c r="I18">
        <v>4.2300000000000004</v>
      </c>
      <c r="J18" t="s">
        <v>527</v>
      </c>
      <c r="K18" t="s">
        <v>140</v>
      </c>
      <c r="L18">
        <v>353</v>
      </c>
      <c r="M18">
        <v>1998</v>
      </c>
      <c r="N18">
        <v>1997</v>
      </c>
      <c r="O18" s="2"/>
      <c r="P18" s="2">
        <v>44663</v>
      </c>
      <c r="Q18" t="s">
        <v>132</v>
      </c>
      <c r="R18" t="s">
        <v>528</v>
      </c>
      <c r="S18" t="s">
        <v>132</v>
      </c>
      <c r="T18" t="s">
        <v>119</v>
      </c>
      <c r="U18" t="s">
        <v>119</v>
      </c>
      <c r="V18" t="s">
        <v>119</v>
      </c>
      <c r="W18">
        <v>0</v>
      </c>
      <c r="X18">
        <v>0</v>
      </c>
    </row>
    <row r="19" spans="1:24" x14ac:dyDescent="0.25">
      <c r="A19">
        <v>29536483</v>
      </c>
      <c r="B19" t="s">
        <v>2495</v>
      </c>
      <c r="C19" t="s">
        <v>2496</v>
      </c>
      <c r="D19" t="s">
        <v>2497</v>
      </c>
      <c r="E19" t="s">
        <v>119</v>
      </c>
      <c r="F19" t="s">
        <v>120</v>
      </c>
      <c r="G19" t="s">
        <v>120</v>
      </c>
      <c r="H19">
        <v>0</v>
      </c>
      <c r="I19">
        <v>4.33</v>
      </c>
      <c r="J19" t="s">
        <v>119</v>
      </c>
      <c r="K19" t="s">
        <v>122</v>
      </c>
      <c r="L19">
        <v>125</v>
      </c>
      <c r="M19">
        <v>2016</v>
      </c>
      <c r="O19" s="2"/>
      <c r="P19" s="2">
        <v>42626</v>
      </c>
      <c r="Q19" t="s">
        <v>2498</v>
      </c>
      <c r="R19" t="s">
        <v>2499</v>
      </c>
      <c r="S19" t="s">
        <v>132</v>
      </c>
      <c r="T19" t="s">
        <v>119</v>
      </c>
      <c r="U19" t="s">
        <v>119</v>
      </c>
      <c r="V19" t="s">
        <v>119</v>
      </c>
      <c r="W19">
        <v>0</v>
      </c>
      <c r="X19">
        <v>0</v>
      </c>
    </row>
    <row r="20" spans="1:24" x14ac:dyDescent="0.25">
      <c r="A20">
        <v>4659</v>
      </c>
      <c r="B20" t="s">
        <v>284</v>
      </c>
      <c r="C20" t="s">
        <v>285</v>
      </c>
      <c r="D20" t="s">
        <v>286</v>
      </c>
      <c r="E20" t="s">
        <v>119</v>
      </c>
      <c r="F20" t="s">
        <v>120</v>
      </c>
      <c r="G20" t="s">
        <v>120</v>
      </c>
      <c r="H20">
        <v>0</v>
      </c>
      <c r="I20">
        <v>3.77</v>
      </c>
      <c r="J20" t="s">
        <v>231</v>
      </c>
      <c r="K20" t="s">
        <v>140</v>
      </c>
      <c r="L20">
        <v>576</v>
      </c>
      <c r="M20">
        <v>2004</v>
      </c>
      <c r="N20">
        <v>1998</v>
      </c>
      <c r="O20" s="2"/>
      <c r="P20" s="2">
        <v>44915</v>
      </c>
      <c r="Q20" t="s">
        <v>287</v>
      </c>
      <c r="R20" t="s">
        <v>288</v>
      </c>
      <c r="S20" t="s">
        <v>125</v>
      </c>
      <c r="T20" t="s">
        <v>119</v>
      </c>
      <c r="U20" t="s">
        <v>119</v>
      </c>
      <c r="V20" t="s">
        <v>119</v>
      </c>
      <c r="W20">
        <v>1</v>
      </c>
      <c r="X20">
        <v>0</v>
      </c>
    </row>
    <row r="21" spans="1:24" x14ac:dyDescent="0.25">
      <c r="A21">
        <v>54326146</v>
      </c>
      <c r="B21" t="s">
        <v>383</v>
      </c>
      <c r="C21" t="s">
        <v>384</v>
      </c>
      <c r="D21" t="s">
        <v>385</v>
      </c>
      <c r="E21" t="s">
        <v>119</v>
      </c>
      <c r="F21" t="s">
        <v>386</v>
      </c>
      <c r="G21" t="s">
        <v>387</v>
      </c>
      <c r="H21">
        <v>3</v>
      </c>
      <c r="I21">
        <v>3.91</v>
      </c>
      <c r="J21" t="s">
        <v>388</v>
      </c>
      <c r="K21" t="s">
        <v>147</v>
      </c>
      <c r="L21">
        <v>320</v>
      </c>
      <c r="M21">
        <v>2021</v>
      </c>
      <c r="N21">
        <v>2021</v>
      </c>
      <c r="O21" s="2">
        <v>44802</v>
      </c>
      <c r="P21" s="2">
        <v>44735</v>
      </c>
      <c r="Q21" t="s">
        <v>119</v>
      </c>
      <c r="R21" t="s">
        <v>119</v>
      </c>
      <c r="S21" t="s">
        <v>125</v>
      </c>
      <c r="T21" t="s">
        <v>389</v>
      </c>
      <c r="U21" t="s">
        <v>119</v>
      </c>
      <c r="V21" t="s">
        <v>119</v>
      </c>
      <c r="W21">
        <v>1</v>
      </c>
      <c r="X21">
        <v>0</v>
      </c>
    </row>
    <row r="22" spans="1:24" x14ac:dyDescent="0.25">
      <c r="A22">
        <v>28092838</v>
      </c>
      <c r="B22" t="s">
        <v>1474</v>
      </c>
      <c r="C22" t="s">
        <v>915</v>
      </c>
      <c r="D22" t="s">
        <v>916</v>
      </c>
      <c r="E22" t="s">
        <v>1475</v>
      </c>
      <c r="F22" t="s">
        <v>1476</v>
      </c>
      <c r="G22" t="s">
        <v>1477</v>
      </c>
      <c r="H22">
        <v>5</v>
      </c>
      <c r="I22">
        <v>3.88</v>
      </c>
      <c r="J22" t="s">
        <v>1478</v>
      </c>
      <c r="K22" t="s">
        <v>140</v>
      </c>
      <c r="L22">
        <v>272</v>
      </c>
      <c r="M22">
        <v>2016</v>
      </c>
      <c r="N22">
        <v>2011</v>
      </c>
      <c r="O22" s="2">
        <v>43995</v>
      </c>
      <c r="P22" s="2">
        <v>43408</v>
      </c>
      <c r="Q22" t="s">
        <v>119</v>
      </c>
      <c r="R22" t="s">
        <v>119</v>
      </c>
      <c r="S22" t="s">
        <v>125</v>
      </c>
      <c r="T22" t="s">
        <v>119</v>
      </c>
      <c r="U22" t="s">
        <v>119</v>
      </c>
      <c r="V22" t="s">
        <v>119</v>
      </c>
      <c r="W22">
        <v>1</v>
      </c>
      <c r="X22">
        <v>0</v>
      </c>
    </row>
    <row r="23" spans="1:24" x14ac:dyDescent="0.25">
      <c r="A23">
        <v>7950745</v>
      </c>
      <c r="B23" t="s">
        <v>2918</v>
      </c>
      <c r="C23" t="s">
        <v>2919</v>
      </c>
      <c r="D23" t="s">
        <v>2920</v>
      </c>
      <c r="E23" t="s">
        <v>119</v>
      </c>
      <c r="F23" t="s">
        <v>2921</v>
      </c>
      <c r="G23" t="s">
        <v>2922</v>
      </c>
      <c r="H23">
        <v>4</v>
      </c>
      <c r="I23">
        <v>3.83</v>
      </c>
      <c r="J23" t="s">
        <v>2284</v>
      </c>
      <c r="K23" t="s">
        <v>140</v>
      </c>
      <c r="L23">
        <v>133</v>
      </c>
      <c r="M23">
        <v>2010</v>
      </c>
      <c r="N23">
        <v>2008</v>
      </c>
      <c r="O23" s="2">
        <v>42369</v>
      </c>
      <c r="P23" s="2">
        <v>42370</v>
      </c>
      <c r="Q23" t="s">
        <v>148</v>
      </c>
      <c r="R23" t="s">
        <v>2923</v>
      </c>
      <c r="S23" t="s">
        <v>125</v>
      </c>
      <c r="T23" t="s">
        <v>119</v>
      </c>
      <c r="U23" t="s">
        <v>119</v>
      </c>
      <c r="V23" t="s">
        <v>119</v>
      </c>
      <c r="W23">
        <v>1</v>
      </c>
      <c r="X23">
        <v>0</v>
      </c>
    </row>
    <row r="24" spans="1:24" x14ac:dyDescent="0.25">
      <c r="A24">
        <v>113086</v>
      </c>
      <c r="B24" t="s">
        <v>2869</v>
      </c>
      <c r="C24" t="s">
        <v>2870</v>
      </c>
      <c r="D24" t="s">
        <v>2871</v>
      </c>
      <c r="E24" t="s">
        <v>119</v>
      </c>
      <c r="F24" t="s">
        <v>2872</v>
      </c>
      <c r="G24" t="s">
        <v>2873</v>
      </c>
      <c r="H24">
        <v>4</v>
      </c>
      <c r="I24">
        <v>3.71</v>
      </c>
      <c r="J24" t="s">
        <v>2874</v>
      </c>
      <c r="K24" t="s">
        <v>140</v>
      </c>
      <c r="L24">
        <v>188</v>
      </c>
      <c r="M24">
        <v>2004</v>
      </c>
      <c r="N24">
        <v>2001</v>
      </c>
      <c r="O24" s="2">
        <v>41913</v>
      </c>
      <c r="P24" s="2">
        <v>42379</v>
      </c>
      <c r="Q24" t="s">
        <v>148</v>
      </c>
      <c r="R24" t="s">
        <v>2875</v>
      </c>
      <c r="S24" t="s">
        <v>125</v>
      </c>
      <c r="T24" t="s">
        <v>119</v>
      </c>
      <c r="U24" t="s">
        <v>119</v>
      </c>
      <c r="V24" t="s">
        <v>119</v>
      </c>
      <c r="W24">
        <v>1</v>
      </c>
      <c r="X24">
        <v>0</v>
      </c>
    </row>
    <row r="25" spans="1:24" x14ac:dyDescent="0.25">
      <c r="A25">
        <v>721338</v>
      </c>
      <c r="B25" t="s">
        <v>2894</v>
      </c>
      <c r="C25" t="s">
        <v>2895</v>
      </c>
      <c r="D25" t="s">
        <v>2896</v>
      </c>
      <c r="E25" t="s">
        <v>2897</v>
      </c>
      <c r="F25" t="s">
        <v>2898</v>
      </c>
      <c r="G25" t="s">
        <v>2899</v>
      </c>
      <c r="H25">
        <v>4</v>
      </c>
      <c r="I25">
        <v>3.94</v>
      </c>
      <c r="J25" t="s">
        <v>2900</v>
      </c>
      <c r="K25" t="s">
        <v>140</v>
      </c>
      <c r="L25">
        <v>178</v>
      </c>
      <c r="M25">
        <v>2006</v>
      </c>
      <c r="N25">
        <v>2006</v>
      </c>
      <c r="O25" s="2">
        <v>42270</v>
      </c>
      <c r="P25" s="2">
        <v>42379</v>
      </c>
      <c r="Q25" t="s">
        <v>148</v>
      </c>
      <c r="R25" t="s">
        <v>2901</v>
      </c>
      <c r="S25" t="s">
        <v>125</v>
      </c>
      <c r="T25" t="s">
        <v>119</v>
      </c>
      <c r="U25" t="s">
        <v>119</v>
      </c>
      <c r="V25" t="s">
        <v>119</v>
      </c>
      <c r="W25">
        <v>1</v>
      </c>
      <c r="X25">
        <v>0</v>
      </c>
    </row>
    <row r="26" spans="1:24" x14ac:dyDescent="0.25">
      <c r="A26">
        <v>8997772</v>
      </c>
      <c r="B26" t="s">
        <v>2876</v>
      </c>
      <c r="C26" t="s">
        <v>2877</v>
      </c>
      <c r="D26" t="s">
        <v>2878</v>
      </c>
      <c r="E26" t="s">
        <v>2879</v>
      </c>
      <c r="F26" t="s">
        <v>2880</v>
      </c>
      <c r="G26" t="s">
        <v>2881</v>
      </c>
      <c r="H26">
        <v>4</v>
      </c>
      <c r="I26">
        <v>3.86</v>
      </c>
      <c r="J26" t="s">
        <v>2284</v>
      </c>
      <c r="K26" t="s">
        <v>147</v>
      </c>
      <c r="L26">
        <v>518</v>
      </c>
      <c r="M26">
        <v>2010</v>
      </c>
      <c r="N26">
        <v>2010</v>
      </c>
      <c r="O26" s="2">
        <v>41760</v>
      </c>
      <c r="P26" s="2">
        <v>42379</v>
      </c>
      <c r="Q26" t="s">
        <v>148</v>
      </c>
      <c r="R26" t="s">
        <v>2882</v>
      </c>
      <c r="S26" t="s">
        <v>125</v>
      </c>
      <c r="T26" t="s">
        <v>119</v>
      </c>
      <c r="U26" t="s">
        <v>119</v>
      </c>
      <c r="V26" t="s">
        <v>119</v>
      </c>
      <c r="W26">
        <v>1</v>
      </c>
      <c r="X26">
        <v>0</v>
      </c>
    </row>
    <row r="27" spans="1:24" x14ac:dyDescent="0.25">
      <c r="A27">
        <v>35185774</v>
      </c>
      <c r="B27" t="s">
        <v>370</v>
      </c>
      <c r="C27" t="s">
        <v>371</v>
      </c>
      <c r="D27" t="s">
        <v>372</v>
      </c>
      <c r="E27" t="s">
        <v>373</v>
      </c>
      <c r="F27" t="s">
        <v>120</v>
      </c>
      <c r="G27" t="s">
        <v>120</v>
      </c>
      <c r="H27">
        <v>4</v>
      </c>
      <c r="I27">
        <v>4.46</v>
      </c>
      <c r="J27" t="s">
        <v>374</v>
      </c>
      <c r="K27" t="s">
        <v>122</v>
      </c>
      <c r="L27">
        <v>72</v>
      </c>
      <c r="M27">
        <v>2017</v>
      </c>
      <c r="O27" s="2">
        <v>44836</v>
      </c>
      <c r="P27" s="2">
        <v>43645</v>
      </c>
      <c r="Q27" t="s">
        <v>119</v>
      </c>
      <c r="R27" t="s">
        <v>119</v>
      </c>
      <c r="S27" t="s">
        <v>125</v>
      </c>
      <c r="T27" t="s">
        <v>119</v>
      </c>
      <c r="U27" t="s">
        <v>119</v>
      </c>
      <c r="V27" t="s">
        <v>119</v>
      </c>
      <c r="W27">
        <v>1</v>
      </c>
      <c r="X27">
        <v>0</v>
      </c>
    </row>
    <row r="28" spans="1:24" x14ac:dyDescent="0.25">
      <c r="A28">
        <v>583766</v>
      </c>
      <c r="B28" t="s">
        <v>2630</v>
      </c>
      <c r="C28" t="s">
        <v>2631</v>
      </c>
      <c r="D28" t="s">
        <v>2632</v>
      </c>
      <c r="E28" t="s">
        <v>119</v>
      </c>
      <c r="F28" t="s">
        <v>2633</v>
      </c>
      <c r="G28" t="s">
        <v>2634</v>
      </c>
      <c r="H28">
        <v>0</v>
      </c>
      <c r="I28">
        <v>3.96</v>
      </c>
      <c r="J28" t="s">
        <v>2635</v>
      </c>
      <c r="K28" t="s">
        <v>140</v>
      </c>
      <c r="L28">
        <v>279</v>
      </c>
      <c r="M28">
        <v>2001</v>
      </c>
      <c r="N28">
        <v>1975</v>
      </c>
      <c r="O28" s="2"/>
      <c r="P28" s="2">
        <v>42744</v>
      </c>
      <c r="Q28" t="s">
        <v>132</v>
      </c>
      <c r="R28" t="s">
        <v>2636</v>
      </c>
      <c r="S28" t="s">
        <v>132</v>
      </c>
      <c r="T28" t="s">
        <v>119</v>
      </c>
      <c r="U28" t="s">
        <v>119</v>
      </c>
      <c r="V28" t="s">
        <v>119</v>
      </c>
      <c r="W28">
        <v>0</v>
      </c>
      <c r="X28">
        <v>0</v>
      </c>
    </row>
    <row r="29" spans="1:24" x14ac:dyDescent="0.25">
      <c r="A29">
        <v>39306237</v>
      </c>
      <c r="B29" t="s">
        <v>426</v>
      </c>
      <c r="C29" t="s">
        <v>427</v>
      </c>
      <c r="D29" t="s">
        <v>428</v>
      </c>
      <c r="E29" t="s">
        <v>429</v>
      </c>
      <c r="F29" t="s">
        <v>120</v>
      </c>
      <c r="G29" t="s">
        <v>120</v>
      </c>
      <c r="H29">
        <v>5</v>
      </c>
      <c r="I29">
        <v>4.17</v>
      </c>
      <c r="J29" t="s">
        <v>430</v>
      </c>
      <c r="K29" t="s">
        <v>122</v>
      </c>
      <c r="L29">
        <v>256</v>
      </c>
      <c r="M29">
        <v>2019</v>
      </c>
      <c r="O29" s="2">
        <v>44772</v>
      </c>
      <c r="P29" s="2">
        <v>44714</v>
      </c>
      <c r="Q29" t="s">
        <v>119</v>
      </c>
      <c r="R29" t="s">
        <v>119</v>
      </c>
      <c r="S29" t="s">
        <v>125</v>
      </c>
      <c r="T29" t="s">
        <v>119</v>
      </c>
      <c r="U29" t="s">
        <v>119</v>
      </c>
      <c r="V29" t="s">
        <v>119</v>
      </c>
      <c r="W29">
        <v>1</v>
      </c>
      <c r="X29">
        <v>0</v>
      </c>
    </row>
    <row r="30" spans="1:24" x14ac:dyDescent="0.25">
      <c r="A30">
        <v>53238447</v>
      </c>
      <c r="B30" t="s">
        <v>1508</v>
      </c>
      <c r="C30" t="s">
        <v>1509</v>
      </c>
      <c r="D30" t="s">
        <v>1510</v>
      </c>
      <c r="E30" t="s">
        <v>119</v>
      </c>
      <c r="F30" t="s">
        <v>120</v>
      </c>
      <c r="G30" t="s">
        <v>1511</v>
      </c>
      <c r="H30">
        <v>4</v>
      </c>
      <c r="I30">
        <v>4.16</v>
      </c>
      <c r="J30" t="s">
        <v>1512</v>
      </c>
      <c r="K30" t="s">
        <v>140</v>
      </c>
      <c r="L30">
        <v>182</v>
      </c>
      <c r="M30">
        <v>2020</v>
      </c>
      <c r="O30" s="2">
        <v>43980</v>
      </c>
      <c r="P30" s="2">
        <v>43966</v>
      </c>
      <c r="Q30" t="s">
        <v>119</v>
      </c>
      <c r="R30" t="s">
        <v>119</v>
      </c>
      <c r="S30" t="s">
        <v>125</v>
      </c>
      <c r="T30" t="s">
        <v>119</v>
      </c>
      <c r="U30" t="s">
        <v>119</v>
      </c>
      <c r="V30" t="s">
        <v>119</v>
      </c>
      <c r="W30">
        <v>1</v>
      </c>
      <c r="X30">
        <v>0</v>
      </c>
    </row>
    <row r="31" spans="1:24" x14ac:dyDescent="0.25">
      <c r="A31">
        <v>95734</v>
      </c>
      <c r="B31" t="s">
        <v>2325</v>
      </c>
      <c r="C31" t="s">
        <v>197</v>
      </c>
      <c r="D31" t="s">
        <v>198</v>
      </c>
      <c r="E31" t="s">
        <v>119</v>
      </c>
      <c r="F31" t="s">
        <v>2326</v>
      </c>
      <c r="G31" t="s">
        <v>2327</v>
      </c>
      <c r="H31">
        <v>4</v>
      </c>
      <c r="I31">
        <v>4.0599999999999996</v>
      </c>
      <c r="J31" t="s">
        <v>184</v>
      </c>
      <c r="K31" t="s">
        <v>140</v>
      </c>
      <c r="L31">
        <v>227</v>
      </c>
      <c r="M31">
        <v>2002</v>
      </c>
      <c r="N31">
        <v>2001</v>
      </c>
      <c r="O31" s="2"/>
      <c r="P31" s="2">
        <v>43255</v>
      </c>
      <c r="Q31" t="s">
        <v>2328</v>
      </c>
      <c r="R31" t="s">
        <v>2329</v>
      </c>
      <c r="S31" t="s">
        <v>125</v>
      </c>
      <c r="T31" t="s">
        <v>119</v>
      </c>
      <c r="U31" t="s">
        <v>119</v>
      </c>
      <c r="V31" t="s">
        <v>119</v>
      </c>
      <c r="W31">
        <v>1</v>
      </c>
      <c r="X31">
        <v>0</v>
      </c>
    </row>
    <row r="32" spans="1:24" x14ac:dyDescent="0.25">
      <c r="A32">
        <v>39997795</v>
      </c>
      <c r="B32" t="s">
        <v>937</v>
      </c>
      <c r="C32" t="s">
        <v>938</v>
      </c>
      <c r="D32" t="s">
        <v>939</v>
      </c>
      <c r="E32" t="s">
        <v>940</v>
      </c>
      <c r="F32" t="s">
        <v>120</v>
      </c>
      <c r="G32" t="s">
        <v>120</v>
      </c>
      <c r="H32">
        <v>3</v>
      </c>
      <c r="I32">
        <v>4.24</v>
      </c>
      <c r="J32" t="s">
        <v>941</v>
      </c>
      <c r="K32" t="s">
        <v>122</v>
      </c>
      <c r="L32">
        <v>176</v>
      </c>
      <c r="M32">
        <v>2018</v>
      </c>
      <c r="O32" s="2">
        <v>44409</v>
      </c>
      <c r="P32" s="2">
        <v>43799</v>
      </c>
      <c r="Q32" t="s">
        <v>119</v>
      </c>
      <c r="R32" t="s">
        <v>119</v>
      </c>
      <c r="S32" t="s">
        <v>125</v>
      </c>
      <c r="T32" t="s">
        <v>119</v>
      </c>
      <c r="U32" t="s">
        <v>119</v>
      </c>
      <c r="V32" t="s">
        <v>119</v>
      </c>
      <c r="W32">
        <v>1</v>
      </c>
      <c r="X32">
        <v>0</v>
      </c>
    </row>
    <row r="33" spans="1:24" x14ac:dyDescent="0.25">
      <c r="A33">
        <v>17048483</v>
      </c>
      <c r="B33" t="s">
        <v>2797</v>
      </c>
      <c r="C33" t="s">
        <v>1361</v>
      </c>
      <c r="D33" t="s">
        <v>1362</v>
      </c>
      <c r="E33" t="s">
        <v>119</v>
      </c>
      <c r="F33" t="s">
        <v>2798</v>
      </c>
      <c r="G33" t="s">
        <v>2799</v>
      </c>
      <c r="H33">
        <v>0</v>
      </c>
      <c r="I33">
        <v>4.0999999999999996</v>
      </c>
      <c r="J33" t="s">
        <v>775</v>
      </c>
      <c r="K33" t="s">
        <v>147</v>
      </c>
      <c r="L33">
        <v>544</v>
      </c>
      <c r="M33">
        <v>2012</v>
      </c>
      <c r="N33">
        <v>2012</v>
      </c>
      <c r="O33" s="2"/>
      <c r="P33" s="2">
        <v>42430</v>
      </c>
      <c r="Q33" t="s">
        <v>132</v>
      </c>
      <c r="R33" t="s">
        <v>2800</v>
      </c>
      <c r="S33" t="s">
        <v>132</v>
      </c>
      <c r="T33" t="s">
        <v>119</v>
      </c>
      <c r="U33" t="s">
        <v>119</v>
      </c>
      <c r="V33" t="s">
        <v>119</v>
      </c>
      <c r="W33">
        <v>0</v>
      </c>
      <c r="X33">
        <v>0</v>
      </c>
    </row>
    <row r="34" spans="1:24" x14ac:dyDescent="0.25">
      <c r="A34">
        <v>11878168</v>
      </c>
      <c r="B34" t="s">
        <v>127</v>
      </c>
      <c r="C34" t="s">
        <v>128</v>
      </c>
      <c r="D34" t="s">
        <v>129</v>
      </c>
      <c r="E34" t="s">
        <v>119</v>
      </c>
      <c r="F34" t="s">
        <v>120</v>
      </c>
      <c r="G34" t="s">
        <v>120</v>
      </c>
      <c r="H34">
        <v>0</v>
      </c>
      <c r="I34">
        <v>4.0999999999999996</v>
      </c>
      <c r="J34" t="s">
        <v>119</v>
      </c>
      <c r="K34" t="s">
        <v>122</v>
      </c>
      <c r="L34">
        <v>90</v>
      </c>
      <c r="N34">
        <v>2011</v>
      </c>
      <c r="O34" s="2"/>
      <c r="P34" s="2">
        <v>42625</v>
      </c>
      <c r="Q34" t="s">
        <v>130</v>
      </c>
      <c r="R34" t="s">
        <v>131</v>
      </c>
      <c r="S34" t="s">
        <v>132</v>
      </c>
      <c r="T34" t="s">
        <v>119</v>
      </c>
      <c r="U34" t="s">
        <v>119</v>
      </c>
      <c r="V34" t="s">
        <v>119</v>
      </c>
      <c r="W34">
        <v>0</v>
      </c>
      <c r="X34">
        <v>0</v>
      </c>
    </row>
    <row r="35" spans="1:24" x14ac:dyDescent="0.25">
      <c r="A35">
        <v>141240</v>
      </c>
      <c r="B35" t="s">
        <v>469</v>
      </c>
      <c r="C35" t="s">
        <v>470</v>
      </c>
      <c r="D35" t="s">
        <v>471</v>
      </c>
      <c r="E35" t="s">
        <v>119</v>
      </c>
      <c r="F35" t="s">
        <v>472</v>
      </c>
      <c r="G35" t="s">
        <v>473</v>
      </c>
      <c r="H35">
        <v>4</v>
      </c>
      <c r="I35">
        <v>3.76</v>
      </c>
      <c r="J35" t="s">
        <v>474</v>
      </c>
      <c r="K35" t="s">
        <v>157</v>
      </c>
      <c r="L35">
        <v>222</v>
      </c>
      <c r="M35">
        <v>2010</v>
      </c>
      <c r="N35">
        <v>1908</v>
      </c>
      <c r="O35" s="2">
        <v>44726</v>
      </c>
      <c r="P35" s="2">
        <v>44724</v>
      </c>
      <c r="Q35" t="s">
        <v>119</v>
      </c>
      <c r="R35" t="s">
        <v>119</v>
      </c>
      <c r="S35" t="s">
        <v>125</v>
      </c>
      <c r="T35" t="s">
        <v>119</v>
      </c>
      <c r="U35" t="s">
        <v>119</v>
      </c>
      <c r="V35" t="s">
        <v>119</v>
      </c>
      <c r="W35">
        <v>1</v>
      </c>
      <c r="X35">
        <v>0</v>
      </c>
    </row>
    <row r="36" spans="1:24" x14ac:dyDescent="0.25">
      <c r="A36">
        <v>32191710</v>
      </c>
      <c r="B36" t="s">
        <v>1367</v>
      </c>
      <c r="C36" t="s">
        <v>1368</v>
      </c>
      <c r="D36" t="s">
        <v>1369</v>
      </c>
      <c r="E36" t="s">
        <v>119</v>
      </c>
      <c r="F36" t="s">
        <v>1370</v>
      </c>
      <c r="G36" t="s">
        <v>1371</v>
      </c>
      <c r="H36">
        <v>0</v>
      </c>
      <c r="I36">
        <v>4.09</v>
      </c>
      <c r="J36" t="s">
        <v>1372</v>
      </c>
      <c r="K36" t="s">
        <v>147</v>
      </c>
      <c r="L36">
        <v>223</v>
      </c>
      <c r="M36">
        <v>2017</v>
      </c>
      <c r="N36">
        <v>2017</v>
      </c>
      <c r="O36" s="2"/>
      <c r="P36" s="2">
        <v>44069</v>
      </c>
      <c r="Q36" t="s">
        <v>132</v>
      </c>
      <c r="R36" t="s">
        <v>1373</v>
      </c>
      <c r="S36" t="s">
        <v>132</v>
      </c>
      <c r="T36" t="s">
        <v>119</v>
      </c>
      <c r="U36" t="s">
        <v>119</v>
      </c>
      <c r="V36" t="s">
        <v>119</v>
      </c>
      <c r="W36">
        <v>0</v>
      </c>
      <c r="X36">
        <v>0</v>
      </c>
    </row>
    <row r="37" spans="1:24" x14ac:dyDescent="0.25">
      <c r="A37">
        <v>25658482</v>
      </c>
      <c r="B37" t="s">
        <v>1752</v>
      </c>
      <c r="C37" t="s">
        <v>1753</v>
      </c>
      <c r="D37" t="s">
        <v>1754</v>
      </c>
      <c r="E37" t="s">
        <v>119</v>
      </c>
      <c r="F37" t="s">
        <v>1755</v>
      </c>
      <c r="G37" t="s">
        <v>1756</v>
      </c>
      <c r="H37">
        <v>4</v>
      </c>
      <c r="I37">
        <v>4.24</v>
      </c>
      <c r="J37" t="s">
        <v>1757</v>
      </c>
      <c r="K37" t="s">
        <v>147</v>
      </c>
      <c r="L37">
        <v>440</v>
      </c>
      <c r="M37">
        <v>2016</v>
      </c>
      <c r="N37">
        <v>2016</v>
      </c>
      <c r="O37" s="2">
        <v>43799</v>
      </c>
      <c r="P37" s="2">
        <v>43780</v>
      </c>
      <c r="Q37" t="s">
        <v>119</v>
      </c>
      <c r="R37" t="s">
        <v>119</v>
      </c>
      <c r="S37" t="s">
        <v>125</v>
      </c>
      <c r="T37" t="s">
        <v>119</v>
      </c>
      <c r="U37" t="s">
        <v>119</v>
      </c>
      <c r="V37" t="s">
        <v>119</v>
      </c>
      <c r="W37">
        <v>1</v>
      </c>
      <c r="X37">
        <v>0</v>
      </c>
    </row>
    <row r="38" spans="1:24" x14ac:dyDescent="0.25">
      <c r="A38">
        <v>58330567</v>
      </c>
      <c r="B38" t="s">
        <v>204</v>
      </c>
      <c r="C38" t="s">
        <v>205</v>
      </c>
      <c r="D38" t="s">
        <v>206</v>
      </c>
      <c r="E38" t="s">
        <v>207</v>
      </c>
      <c r="F38" t="s">
        <v>208</v>
      </c>
      <c r="G38" t="s">
        <v>209</v>
      </c>
      <c r="H38">
        <v>0</v>
      </c>
      <c r="I38">
        <v>4.3600000000000003</v>
      </c>
      <c r="J38" t="s">
        <v>210</v>
      </c>
      <c r="K38" t="s">
        <v>147</v>
      </c>
      <c r="L38">
        <v>301</v>
      </c>
      <c r="M38">
        <v>2021</v>
      </c>
      <c r="N38">
        <v>2021</v>
      </c>
      <c r="O38" s="2"/>
      <c r="P38" s="2">
        <v>44940</v>
      </c>
      <c r="Q38" t="s">
        <v>132</v>
      </c>
      <c r="R38" t="s">
        <v>211</v>
      </c>
      <c r="S38" t="s">
        <v>132</v>
      </c>
      <c r="T38" t="s">
        <v>119</v>
      </c>
      <c r="U38" t="s">
        <v>119</v>
      </c>
      <c r="V38" t="s">
        <v>119</v>
      </c>
      <c r="W38">
        <v>0</v>
      </c>
      <c r="X38">
        <v>0</v>
      </c>
    </row>
    <row r="39" spans="1:24" x14ac:dyDescent="0.25">
      <c r="A39">
        <v>13130873</v>
      </c>
      <c r="B39" t="s">
        <v>2293</v>
      </c>
      <c r="C39" t="s">
        <v>2294</v>
      </c>
      <c r="D39" t="s">
        <v>2295</v>
      </c>
      <c r="E39" t="s">
        <v>119</v>
      </c>
      <c r="F39" t="s">
        <v>2296</v>
      </c>
      <c r="G39" t="s">
        <v>2297</v>
      </c>
      <c r="H39">
        <v>0</v>
      </c>
      <c r="I39">
        <v>3.69</v>
      </c>
      <c r="J39" t="s">
        <v>2298</v>
      </c>
      <c r="K39" t="s">
        <v>157</v>
      </c>
      <c r="L39">
        <v>1080</v>
      </c>
      <c r="M39">
        <v>1996</v>
      </c>
      <c r="N39">
        <v>1957</v>
      </c>
      <c r="O39" s="2"/>
      <c r="P39" s="2">
        <v>43350</v>
      </c>
      <c r="Q39" t="s">
        <v>2299</v>
      </c>
      <c r="R39" t="s">
        <v>2300</v>
      </c>
      <c r="S39" t="s">
        <v>132</v>
      </c>
      <c r="T39" t="s">
        <v>119</v>
      </c>
      <c r="U39" t="s">
        <v>119</v>
      </c>
      <c r="V39" t="s">
        <v>119</v>
      </c>
      <c r="W39">
        <v>0</v>
      </c>
      <c r="X39">
        <v>0</v>
      </c>
    </row>
    <row r="40" spans="1:24" x14ac:dyDescent="0.25">
      <c r="A40">
        <v>40121378</v>
      </c>
      <c r="B40" t="s">
        <v>2188</v>
      </c>
      <c r="C40" t="s">
        <v>2189</v>
      </c>
      <c r="D40" t="s">
        <v>2190</v>
      </c>
      <c r="E40" t="s">
        <v>119</v>
      </c>
      <c r="F40" t="s">
        <v>120</v>
      </c>
      <c r="G40" t="s">
        <v>120</v>
      </c>
      <c r="H40">
        <v>5</v>
      </c>
      <c r="I40">
        <v>4.38</v>
      </c>
      <c r="J40" t="s">
        <v>225</v>
      </c>
      <c r="K40" t="s">
        <v>122</v>
      </c>
      <c r="L40">
        <v>319</v>
      </c>
      <c r="M40">
        <v>2018</v>
      </c>
      <c r="N40">
        <v>2018</v>
      </c>
      <c r="O40" s="2">
        <v>43426</v>
      </c>
      <c r="P40" s="2">
        <v>43415</v>
      </c>
      <c r="Q40" t="s">
        <v>119</v>
      </c>
      <c r="R40" t="s">
        <v>119</v>
      </c>
      <c r="S40" t="s">
        <v>125</v>
      </c>
      <c r="T40" t="s">
        <v>119</v>
      </c>
      <c r="U40" t="s">
        <v>119</v>
      </c>
      <c r="V40" t="s">
        <v>119</v>
      </c>
      <c r="W40">
        <v>1</v>
      </c>
      <c r="X40">
        <v>0</v>
      </c>
    </row>
    <row r="41" spans="1:24" x14ac:dyDescent="0.25">
      <c r="A41">
        <v>639864</v>
      </c>
      <c r="B41" t="s">
        <v>1872</v>
      </c>
      <c r="C41" t="s">
        <v>1873</v>
      </c>
      <c r="D41" t="s">
        <v>1874</v>
      </c>
      <c r="E41" t="s">
        <v>119</v>
      </c>
      <c r="F41" t="s">
        <v>1875</v>
      </c>
      <c r="G41" t="s">
        <v>1876</v>
      </c>
      <c r="H41">
        <v>0</v>
      </c>
      <c r="I41">
        <v>4.2300000000000004</v>
      </c>
      <c r="J41" t="s">
        <v>1877</v>
      </c>
      <c r="K41" t="s">
        <v>140</v>
      </c>
      <c r="L41">
        <v>448</v>
      </c>
      <c r="M41">
        <v>1994</v>
      </c>
      <c r="N41">
        <v>1946</v>
      </c>
      <c r="O41" s="2"/>
      <c r="P41" s="2">
        <v>43388</v>
      </c>
      <c r="Q41" t="s">
        <v>265</v>
      </c>
      <c r="R41" t="s">
        <v>1878</v>
      </c>
      <c r="S41" t="s">
        <v>265</v>
      </c>
      <c r="T41" t="s">
        <v>119</v>
      </c>
      <c r="U41" t="s">
        <v>119</v>
      </c>
      <c r="V41" t="s">
        <v>119</v>
      </c>
      <c r="W41">
        <v>1</v>
      </c>
      <c r="X41">
        <v>0</v>
      </c>
    </row>
    <row r="42" spans="1:24" x14ac:dyDescent="0.25">
      <c r="A42">
        <v>180116</v>
      </c>
      <c r="B42" t="s">
        <v>2973</v>
      </c>
      <c r="C42" t="s">
        <v>2974</v>
      </c>
      <c r="D42" t="s">
        <v>2975</v>
      </c>
      <c r="E42" t="s">
        <v>2976</v>
      </c>
      <c r="F42" t="s">
        <v>2977</v>
      </c>
      <c r="G42" t="s">
        <v>2978</v>
      </c>
      <c r="H42">
        <v>0</v>
      </c>
      <c r="I42">
        <v>4.1500000000000004</v>
      </c>
      <c r="J42" t="s">
        <v>1096</v>
      </c>
      <c r="K42" t="s">
        <v>140</v>
      </c>
      <c r="L42">
        <v>544</v>
      </c>
      <c r="M42">
        <v>1992</v>
      </c>
      <c r="N42">
        <v>1992</v>
      </c>
      <c r="O42" s="2"/>
      <c r="P42" s="2">
        <v>42165</v>
      </c>
      <c r="Q42" t="s">
        <v>132</v>
      </c>
      <c r="R42" t="s">
        <v>2979</v>
      </c>
      <c r="S42" t="s">
        <v>132</v>
      </c>
      <c r="T42" t="s">
        <v>119</v>
      </c>
      <c r="U42" t="s">
        <v>119</v>
      </c>
      <c r="V42" t="s">
        <v>119</v>
      </c>
      <c r="W42">
        <v>0</v>
      </c>
      <c r="X42">
        <v>0</v>
      </c>
    </row>
    <row r="43" spans="1:24" x14ac:dyDescent="0.25">
      <c r="A43">
        <v>780702</v>
      </c>
      <c r="B43" t="s">
        <v>1603</v>
      </c>
      <c r="C43" t="s">
        <v>1604</v>
      </c>
      <c r="D43" t="s">
        <v>1605</v>
      </c>
      <c r="E43" t="s">
        <v>119</v>
      </c>
      <c r="F43" t="s">
        <v>1606</v>
      </c>
      <c r="G43" t="s">
        <v>1607</v>
      </c>
      <c r="H43">
        <v>4</v>
      </c>
      <c r="I43">
        <v>4.3</v>
      </c>
      <c r="J43" t="s">
        <v>1608</v>
      </c>
      <c r="K43" t="s">
        <v>140</v>
      </c>
      <c r="L43">
        <v>194</v>
      </c>
      <c r="M43">
        <v>1990</v>
      </c>
      <c r="N43">
        <v>1990</v>
      </c>
      <c r="O43" s="2">
        <v>43772</v>
      </c>
      <c r="P43" s="2">
        <v>43754</v>
      </c>
      <c r="Q43" t="s">
        <v>119</v>
      </c>
      <c r="R43" t="s">
        <v>119</v>
      </c>
      <c r="S43" t="s">
        <v>125</v>
      </c>
      <c r="T43" t="s">
        <v>119</v>
      </c>
      <c r="U43" t="s">
        <v>119</v>
      </c>
      <c r="V43" t="s">
        <v>119</v>
      </c>
      <c r="W43">
        <v>1</v>
      </c>
      <c r="X43">
        <v>0</v>
      </c>
    </row>
    <row r="44" spans="1:24" x14ac:dyDescent="0.25">
      <c r="A44">
        <v>31706504</v>
      </c>
      <c r="B44" t="s">
        <v>1837</v>
      </c>
      <c r="C44" t="s">
        <v>25</v>
      </c>
      <c r="D44" t="s">
        <v>344</v>
      </c>
      <c r="E44" t="s">
        <v>119</v>
      </c>
      <c r="F44" t="s">
        <v>1838</v>
      </c>
      <c r="G44" t="s">
        <v>1839</v>
      </c>
      <c r="H44">
        <v>5</v>
      </c>
      <c r="I44">
        <v>4.1100000000000003</v>
      </c>
      <c r="J44" t="s">
        <v>201</v>
      </c>
      <c r="K44" t="s">
        <v>273</v>
      </c>
      <c r="L44">
        <v>224</v>
      </c>
      <c r="M44">
        <v>2017</v>
      </c>
      <c r="N44">
        <v>2017</v>
      </c>
      <c r="O44" s="2">
        <v>43708</v>
      </c>
      <c r="P44" s="2">
        <v>43705</v>
      </c>
      <c r="Q44" t="s">
        <v>1835</v>
      </c>
      <c r="R44" t="s">
        <v>1840</v>
      </c>
      <c r="S44" t="s">
        <v>125</v>
      </c>
      <c r="T44" t="s">
        <v>1841</v>
      </c>
      <c r="U44" t="s">
        <v>119</v>
      </c>
      <c r="V44" t="s">
        <v>119</v>
      </c>
      <c r="W44">
        <v>1</v>
      </c>
      <c r="X44">
        <v>0</v>
      </c>
    </row>
    <row r="45" spans="1:24" x14ac:dyDescent="0.25">
      <c r="A45">
        <v>95746</v>
      </c>
      <c r="B45" t="s">
        <v>2689</v>
      </c>
      <c r="C45" t="s">
        <v>197</v>
      </c>
      <c r="D45" t="s">
        <v>198</v>
      </c>
      <c r="E45" t="s">
        <v>2690</v>
      </c>
      <c r="F45" t="s">
        <v>2691</v>
      </c>
      <c r="G45" t="s">
        <v>2692</v>
      </c>
      <c r="H45">
        <v>5</v>
      </c>
      <c r="I45">
        <v>4.43</v>
      </c>
      <c r="J45" t="s">
        <v>2693</v>
      </c>
      <c r="K45" t="s">
        <v>140</v>
      </c>
      <c r="L45">
        <v>76</v>
      </c>
      <c r="M45">
        <v>2002</v>
      </c>
      <c r="O45" s="2">
        <v>42606</v>
      </c>
      <c r="P45" s="2">
        <v>42416</v>
      </c>
      <c r="Q45" t="s">
        <v>882</v>
      </c>
      <c r="R45" t="s">
        <v>2694</v>
      </c>
      <c r="S45" t="s">
        <v>125</v>
      </c>
      <c r="T45" t="s">
        <v>119</v>
      </c>
      <c r="U45" t="s">
        <v>119</v>
      </c>
      <c r="V45" t="s">
        <v>119</v>
      </c>
      <c r="W45">
        <v>1</v>
      </c>
      <c r="X45">
        <v>0</v>
      </c>
    </row>
    <row r="46" spans="1:24" x14ac:dyDescent="0.25">
      <c r="A46">
        <v>41580312</v>
      </c>
      <c r="B46" t="s">
        <v>1274</v>
      </c>
      <c r="C46" t="s">
        <v>1275</v>
      </c>
      <c r="D46" t="s">
        <v>1276</v>
      </c>
      <c r="E46" t="s">
        <v>119</v>
      </c>
      <c r="F46" t="s">
        <v>120</v>
      </c>
      <c r="G46" t="s">
        <v>120</v>
      </c>
      <c r="H46">
        <v>0</v>
      </c>
      <c r="I46">
        <v>4.32</v>
      </c>
      <c r="J46" t="s">
        <v>201</v>
      </c>
      <c r="K46" t="s">
        <v>122</v>
      </c>
      <c r="L46">
        <v>116</v>
      </c>
      <c r="M46">
        <v>2010</v>
      </c>
      <c r="N46">
        <v>1971</v>
      </c>
      <c r="O46" s="2"/>
      <c r="P46" s="2">
        <v>44142</v>
      </c>
      <c r="Q46" t="s">
        <v>132</v>
      </c>
      <c r="R46" t="s">
        <v>1277</v>
      </c>
      <c r="S46" t="s">
        <v>132</v>
      </c>
      <c r="T46" t="s">
        <v>119</v>
      </c>
      <c r="U46" t="s">
        <v>119</v>
      </c>
      <c r="V46" t="s">
        <v>119</v>
      </c>
      <c r="W46">
        <v>0</v>
      </c>
      <c r="X46">
        <v>0</v>
      </c>
    </row>
    <row r="47" spans="1:24" x14ac:dyDescent="0.25">
      <c r="A47">
        <v>30733706</v>
      </c>
      <c r="B47" t="s">
        <v>2651</v>
      </c>
      <c r="C47" t="s">
        <v>2652</v>
      </c>
      <c r="D47" t="s">
        <v>2653</v>
      </c>
      <c r="E47" t="s">
        <v>119</v>
      </c>
      <c r="F47" t="s">
        <v>120</v>
      </c>
      <c r="G47" t="s">
        <v>120</v>
      </c>
      <c r="H47">
        <v>2</v>
      </c>
      <c r="I47">
        <v>4.07</v>
      </c>
      <c r="J47" t="s">
        <v>2654</v>
      </c>
      <c r="K47" t="s">
        <v>122</v>
      </c>
      <c r="L47">
        <v>118</v>
      </c>
      <c r="M47">
        <v>2016</v>
      </c>
      <c r="O47" s="2"/>
      <c r="P47" s="2">
        <v>42646</v>
      </c>
      <c r="Q47" t="s">
        <v>119</v>
      </c>
      <c r="R47" t="s">
        <v>119</v>
      </c>
      <c r="S47" t="s">
        <v>125</v>
      </c>
      <c r="T47" t="s">
        <v>119</v>
      </c>
      <c r="U47" t="s">
        <v>119</v>
      </c>
      <c r="V47" t="s">
        <v>119</v>
      </c>
      <c r="W47">
        <v>1</v>
      </c>
      <c r="X47">
        <v>0</v>
      </c>
    </row>
    <row r="48" spans="1:24" x14ac:dyDescent="0.25">
      <c r="A48">
        <v>6149</v>
      </c>
      <c r="B48" t="s">
        <v>627</v>
      </c>
      <c r="C48" t="s">
        <v>628</v>
      </c>
      <c r="D48" t="s">
        <v>629</v>
      </c>
      <c r="E48" t="s">
        <v>119</v>
      </c>
      <c r="F48" t="s">
        <v>120</v>
      </c>
      <c r="G48" t="s">
        <v>630</v>
      </c>
      <c r="H48">
        <v>0</v>
      </c>
      <c r="I48">
        <v>3.93</v>
      </c>
      <c r="J48" t="s">
        <v>436</v>
      </c>
      <c r="K48" t="s">
        <v>122</v>
      </c>
      <c r="L48">
        <v>324</v>
      </c>
      <c r="M48">
        <v>2004</v>
      </c>
      <c r="N48">
        <v>1987</v>
      </c>
      <c r="O48" s="2"/>
      <c r="P48" s="2">
        <v>44573</v>
      </c>
      <c r="Q48" t="s">
        <v>631</v>
      </c>
      <c r="R48" t="s">
        <v>632</v>
      </c>
      <c r="S48" t="s">
        <v>132</v>
      </c>
      <c r="T48" t="s">
        <v>119</v>
      </c>
      <c r="U48" t="s">
        <v>119</v>
      </c>
      <c r="V48" t="s">
        <v>119</v>
      </c>
      <c r="W48">
        <v>0</v>
      </c>
      <c r="X48">
        <v>0</v>
      </c>
    </row>
    <row r="49" spans="1:24" x14ac:dyDescent="0.25">
      <c r="A49">
        <v>10883</v>
      </c>
      <c r="B49" t="s">
        <v>1130</v>
      </c>
      <c r="C49" t="s">
        <v>491</v>
      </c>
      <c r="D49" t="s">
        <v>492</v>
      </c>
      <c r="E49" t="s">
        <v>119</v>
      </c>
      <c r="F49" t="s">
        <v>1131</v>
      </c>
      <c r="G49" t="s">
        <v>1132</v>
      </c>
      <c r="H49">
        <v>0</v>
      </c>
      <c r="I49">
        <v>4.03</v>
      </c>
      <c r="J49" t="s">
        <v>495</v>
      </c>
      <c r="K49" t="s">
        <v>140</v>
      </c>
      <c r="L49">
        <v>586</v>
      </c>
      <c r="M49">
        <v>2004</v>
      </c>
      <c r="N49">
        <v>2003</v>
      </c>
      <c r="O49" s="2"/>
      <c r="P49" s="2">
        <v>44201</v>
      </c>
      <c r="Q49" t="s">
        <v>132</v>
      </c>
      <c r="R49" t="s">
        <v>1133</v>
      </c>
      <c r="S49" t="s">
        <v>132</v>
      </c>
      <c r="T49" t="s">
        <v>119</v>
      </c>
      <c r="U49" t="s">
        <v>119</v>
      </c>
      <c r="V49" t="s">
        <v>119</v>
      </c>
      <c r="W49">
        <v>0</v>
      </c>
      <c r="X49">
        <v>0</v>
      </c>
    </row>
    <row r="50" spans="1:24" x14ac:dyDescent="0.25">
      <c r="A50">
        <v>35961064</v>
      </c>
      <c r="B50" t="s">
        <v>2338</v>
      </c>
      <c r="C50" t="s">
        <v>2339</v>
      </c>
      <c r="D50" t="s">
        <v>2340</v>
      </c>
      <c r="E50" t="s">
        <v>119</v>
      </c>
      <c r="F50" t="s">
        <v>120</v>
      </c>
      <c r="G50" t="s">
        <v>120</v>
      </c>
      <c r="H50">
        <v>4</v>
      </c>
      <c r="I50">
        <v>4.18</v>
      </c>
      <c r="J50" t="s">
        <v>782</v>
      </c>
      <c r="K50" t="s">
        <v>122</v>
      </c>
      <c r="L50">
        <v>240</v>
      </c>
      <c r="M50">
        <v>2018</v>
      </c>
      <c r="O50" s="2">
        <v>43177</v>
      </c>
      <c r="P50" s="2">
        <v>43177</v>
      </c>
      <c r="Q50" t="s">
        <v>119</v>
      </c>
      <c r="R50" t="s">
        <v>119</v>
      </c>
      <c r="S50" t="s">
        <v>125</v>
      </c>
      <c r="T50" t="s">
        <v>119</v>
      </c>
      <c r="U50" t="s">
        <v>119</v>
      </c>
      <c r="V50" t="s">
        <v>119</v>
      </c>
      <c r="W50">
        <v>1</v>
      </c>
      <c r="X50">
        <v>0</v>
      </c>
    </row>
    <row r="51" spans="1:24" x14ac:dyDescent="0.25">
      <c r="A51">
        <v>59337058</v>
      </c>
      <c r="B51" t="s">
        <v>220</v>
      </c>
      <c r="C51" t="s">
        <v>21</v>
      </c>
      <c r="D51" t="s">
        <v>221</v>
      </c>
      <c r="E51" t="s">
        <v>119</v>
      </c>
      <c r="F51" t="s">
        <v>120</v>
      </c>
      <c r="G51" t="s">
        <v>120</v>
      </c>
      <c r="H51">
        <v>0</v>
      </c>
      <c r="I51">
        <v>4.0199999999999996</v>
      </c>
      <c r="J51" t="s">
        <v>119</v>
      </c>
      <c r="K51" t="s">
        <v>122</v>
      </c>
      <c r="L51">
        <v>331</v>
      </c>
      <c r="M51">
        <v>2022</v>
      </c>
      <c r="N51">
        <v>2022</v>
      </c>
      <c r="O51" s="2"/>
      <c r="P51" s="2">
        <v>44906</v>
      </c>
      <c r="Q51" t="s">
        <v>132</v>
      </c>
      <c r="R51" t="s">
        <v>222</v>
      </c>
      <c r="S51" t="s">
        <v>132</v>
      </c>
      <c r="T51" t="s">
        <v>119</v>
      </c>
      <c r="U51" t="s">
        <v>119</v>
      </c>
      <c r="V51" t="s">
        <v>119</v>
      </c>
      <c r="W51">
        <v>0</v>
      </c>
      <c r="X51">
        <v>0</v>
      </c>
    </row>
    <row r="52" spans="1:24" x14ac:dyDescent="0.25">
      <c r="A52">
        <v>40102</v>
      </c>
      <c r="B52" t="s">
        <v>2980</v>
      </c>
      <c r="C52" t="s">
        <v>1795</v>
      </c>
      <c r="D52" t="s">
        <v>1796</v>
      </c>
      <c r="E52" t="s">
        <v>2981</v>
      </c>
      <c r="F52" t="s">
        <v>2982</v>
      </c>
      <c r="G52" t="s">
        <v>2983</v>
      </c>
      <c r="H52">
        <v>0</v>
      </c>
      <c r="I52">
        <v>3.96</v>
      </c>
      <c r="J52" t="s">
        <v>527</v>
      </c>
      <c r="K52" t="s">
        <v>140</v>
      </c>
      <c r="L52">
        <v>296</v>
      </c>
      <c r="M52">
        <v>2007</v>
      </c>
      <c r="N52">
        <v>2005</v>
      </c>
      <c r="O52" s="2"/>
      <c r="P52" s="2">
        <v>42165</v>
      </c>
      <c r="Q52" t="s">
        <v>132</v>
      </c>
      <c r="R52" t="s">
        <v>2984</v>
      </c>
      <c r="S52" t="s">
        <v>132</v>
      </c>
      <c r="T52" t="s">
        <v>119</v>
      </c>
      <c r="U52" t="s">
        <v>119</v>
      </c>
      <c r="V52" t="s">
        <v>119</v>
      </c>
      <c r="W52">
        <v>0</v>
      </c>
      <c r="X52">
        <v>0</v>
      </c>
    </row>
    <row r="53" spans="1:24" x14ac:dyDescent="0.25">
      <c r="A53">
        <v>51335096</v>
      </c>
      <c r="B53" t="s">
        <v>1032</v>
      </c>
      <c r="C53" t="s">
        <v>1033</v>
      </c>
      <c r="D53" t="s">
        <v>1034</v>
      </c>
      <c r="E53" t="s">
        <v>119</v>
      </c>
      <c r="F53" t="s">
        <v>120</v>
      </c>
      <c r="G53" t="s">
        <v>120</v>
      </c>
      <c r="H53">
        <v>0</v>
      </c>
      <c r="I53">
        <v>4.13</v>
      </c>
      <c r="J53" t="s">
        <v>871</v>
      </c>
      <c r="K53" t="s">
        <v>122</v>
      </c>
      <c r="L53">
        <v>357</v>
      </c>
      <c r="M53">
        <v>2020</v>
      </c>
      <c r="O53" s="2"/>
      <c r="P53" s="2">
        <v>44276</v>
      </c>
      <c r="Q53" t="s">
        <v>132</v>
      </c>
      <c r="R53" t="s">
        <v>1035</v>
      </c>
      <c r="S53" t="s">
        <v>132</v>
      </c>
      <c r="T53" t="s">
        <v>119</v>
      </c>
      <c r="U53" t="s">
        <v>119</v>
      </c>
      <c r="V53" t="s">
        <v>119</v>
      </c>
      <c r="W53">
        <v>0</v>
      </c>
      <c r="X53">
        <v>0</v>
      </c>
    </row>
    <row r="54" spans="1:24" x14ac:dyDescent="0.25">
      <c r="A54">
        <v>37657606</v>
      </c>
      <c r="B54" t="s">
        <v>228</v>
      </c>
      <c r="C54" t="s">
        <v>229</v>
      </c>
      <c r="D54" t="s">
        <v>230</v>
      </c>
      <c r="E54" t="s">
        <v>119</v>
      </c>
      <c r="F54" t="s">
        <v>120</v>
      </c>
      <c r="G54" t="s">
        <v>120</v>
      </c>
      <c r="H54">
        <v>5</v>
      </c>
      <c r="I54">
        <v>4.12</v>
      </c>
      <c r="J54" t="s">
        <v>231</v>
      </c>
      <c r="K54" t="s">
        <v>122</v>
      </c>
      <c r="L54">
        <v>272</v>
      </c>
      <c r="M54">
        <v>2018</v>
      </c>
      <c r="O54" s="2">
        <v>43574</v>
      </c>
      <c r="P54" s="2">
        <v>43510</v>
      </c>
      <c r="Q54" t="s">
        <v>202</v>
      </c>
      <c r="R54" t="s">
        <v>232</v>
      </c>
      <c r="S54" t="s">
        <v>125</v>
      </c>
      <c r="T54" t="s">
        <v>119</v>
      </c>
      <c r="U54" t="s">
        <v>119</v>
      </c>
      <c r="V54" t="s">
        <v>119</v>
      </c>
      <c r="W54">
        <v>1</v>
      </c>
      <c r="X54">
        <v>0</v>
      </c>
    </row>
    <row r="55" spans="1:24" x14ac:dyDescent="0.25">
      <c r="A55">
        <v>4898</v>
      </c>
      <c r="B55" t="s">
        <v>2248</v>
      </c>
      <c r="C55" t="s">
        <v>2249</v>
      </c>
      <c r="D55" t="s">
        <v>2250</v>
      </c>
      <c r="E55" t="s">
        <v>2251</v>
      </c>
      <c r="F55" t="s">
        <v>2252</v>
      </c>
      <c r="G55" t="s">
        <v>2253</v>
      </c>
      <c r="H55">
        <v>0</v>
      </c>
      <c r="I55">
        <v>3.99</v>
      </c>
      <c r="J55" t="s">
        <v>2254</v>
      </c>
      <c r="K55" t="s">
        <v>147</v>
      </c>
      <c r="L55">
        <v>240</v>
      </c>
      <c r="M55">
        <v>2005</v>
      </c>
      <c r="N55">
        <v>1994</v>
      </c>
      <c r="O55" s="2"/>
      <c r="P55" s="2">
        <v>43100</v>
      </c>
      <c r="Q55" t="s">
        <v>2255</v>
      </c>
      <c r="R55" t="s">
        <v>2256</v>
      </c>
      <c r="S55" t="s">
        <v>132</v>
      </c>
      <c r="T55" t="s">
        <v>119</v>
      </c>
      <c r="U55" t="s">
        <v>119</v>
      </c>
      <c r="V55" t="s">
        <v>119</v>
      </c>
      <c r="W55">
        <v>0</v>
      </c>
      <c r="X55">
        <v>0</v>
      </c>
    </row>
    <row r="56" spans="1:24" x14ac:dyDescent="0.25">
      <c r="A56">
        <v>29780253</v>
      </c>
      <c r="B56" t="s">
        <v>510</v>
      </c>
      <c r="C56" t="s">
        <v>511</v>
      </c>
      <c r="D56" t="s">
        <v>512</v>
      </c>
      <c r="E56" t="s">
        <v>119</v>
      </c>
      <c r="F56" t="s">
        <v>120</v>
      </c>
      <c r="G56" t="s">
        <v>120</v>
      </c>
      <c r="H56">
        <v>5</v>
      </c>
      <c r="I56">
        <v>4.49</v>
      </c>
      <c r="J56" t="s">
        <v>513</v>
      </c>
      <c r="K56" t="s">
        <v>147</v>
      </c>
      <c r="L56">
        <v>289</v>
      </c>
      <c r="M56">
        <v>2016</v>
      </c>
      <c r="N56">
        <v>2016</v>
      </c>
      <c r="O56" s="2">
        <v>44671</v>
      </c>
      <c r="P56" s="2">
        <v>44612</v>
      </c>
      <c r="Q56" t="s">
        <v>119</v>
      </c>
      <c r="R56" t="s">
        <v>119</v>
      </c>
      <c r="S56" t="s">
        <v>125</v>
      </c>
      <c r="T56" t="s">
        <v>468</v>
      </c>
      <c r="U56" t="s">
        <v>119</v>
      </c>
      <c r="V56" t="s">
        <v>119</v>
      </c>
      <c r="W56">
        <v>1</v>
      </c>
      <c r="X56">
        <v>0</v>
      </c>
    </row>
    <row r="57" spans="1:24" x14ac:dyDescent="0.25">
      <c r="A57">
        <v>40338432</v>
      </c>
      <c r="B57" t="s">
        <v>962</v>
      </c>
      <c r="C57" t="s">
        <v>963</v>
      </c>
      <c r="D57" t="s">
        <v>964</v>
      </c>
      <c r="E57" t="s">
        <v>119</v>
      </c>
      <c r="F57" t="s">
        <v>965</v>
      </c>
      <c r="G57" t="s">
        <v>966</v>
      </c>
      <c r="H57">
        <v>5</v>
      </c>
      <c r="I57">
        <v>4.1500000000000004</v>
      </c>
      <c r="J57" t="s">
        <v>388</v>
      </c>
      <c r="K57" t="s">
        <v>147</v>
      </c>
      <c r="L57">
        <v>304</v>
      </c>
      <c r="M57">
        <v>2019</v>
      </c>
      <c r="N57">
        <v>2019</v>
      </c>
      <c r="O57" s="2">
        <v>44391</v>
      </c>
      <c r="P57" s="2">
        <v>44379</v>
      </c>
      <c r="Q57" t="s">
        <v>119</v>
      </c>
      <c r="R57" t="s">
        <v>119</v>
      </c>
      <c r="S57" t="s">
        <v>125</v>
      </c>
      <c r="T57" t="s">
        <v>119</v>
      </c>
      <c r="U57" t="s">
        <v>119</v>
      </c>
      <c r="V57" t="s">
        <v>119</v>
      </c>
      <c r="W57">
        <v>1</v>
      </c>
      <c r="X57">
        <v>0</v>
      </c>
    </row>
    <row r="58" spans="1:24" x14ac:dyDescent="0.25">
      <c r="A58">
        <v>34565022</v>
      </c>
      <c r="B58" t="s">
        <v>1716</v>
      </c>
      <c r="C58" t="s">
        <v>205</v>
      </c>
      <c r="D58" t="s">
        <v>206</v>
      </c>
      <c r="E58" t="s">
        <v>119</v>
      </c>
      <c r="F58" t="s">
        <v>1717</v>
      </c>
      <c r="G58" t="s">
        <v>1718</v>
      </c>
      <c r="H58">
        <v>0</v>
      </c>
      <c r="I58">
        <v>4.1399999999999997</v>
      </c>
      <c r="J58" t="s">
        <v>210</v>
      </c>
      <c r="K58" t="s">
        <v>147</v>
      </c>
      <c r="L58">
        <v>197</v>
      </c>
      <c r="M58">
        <v>2017</v>
      </c>
      <c r="N58">
        <v>2017</v>
      </c>
      <c r="O58" s="2"/>
      <c r="P58" s="2">
        <v>43838</v>
      </c>
      <c r="Q58" t="s">
        <v>132</v>
      </c>
      <c r="R58" t="s">
        <v>1719</v>
      </c>
      <c r="S58" t="s">
        <v>132</v>
      </c>
      <c r="T58" t="s">
        <v>119</v>
      </c>
      <c r="U58" t="s">
        <v>119</v>
      </c>
      <c r="V58" t="s">
        <v>119</v>
      </c>
      <c r="W58">
        <v>0</v>
      </c>
      <c r="X58">
        <v>0</v>
      </c>
    </row>
    <row r="59" spans="1:24" x14ac:dyDescent="0.25">
      <c r="A59">
        <v>48890486</v>
      </c>
      <c r="B59" t="s">
        <v>179</v>
      </c>
      <c r="C59" t="s">
        <v>180</v>
      </c>
      <c r="D59" t="s">
        <v>181</v>
      </c>
      <c r="E59" t="s">
        <v>119</v>
      </c>
      <c r="F59" t="s">
        <v>182</v>
      </c>
      <c r="G59" t="s">
        <v>183</v>
      </c>
      <c r="H59">
        <v>4</v>
      </c>
      <c r="I59">
        <v>4.1500000000000004</v>
      </c>
      <c r="J59" t="s">
        <v>184</v>
      </c>
      <c r="K59" t="s">
        <v>147</v>
      </c>
      <c r="L59">
        <v>214</v>
      </c>
      <c r="M59">
        <v>2020</v>
      </c>
      <c r="N59">
        <v>2020</v>
      </c>
      <c r="O59" s="2"/>
      <c r="P59" s="2">
        <v>44712</v>
      </c>
      <c r="Q59" t="s">
        <v>185</v>
      </c>
      <c r="R59" t="s">
        <v>186</v>
      </c>
      <c r="S59" t="s">
        <v>125</v>
      </c>
      <c r="T59" t="s">
        <v>187</v>
      </c>
      <c r="U59" t="s">
        <v>119</v>
      </c>
      <c r="V59" t="s">
        <v>119</v>
      </c>
      <c r="W59">
        <v>1</v>
      </c>
      <c r="X59">
        <v>1</v>
      </c>
    </row>
    <row r="60" spans="1:24" x14ac:dyDescent="0.25">
      <c r="A60">
        <v>40277241</v>
      </c>
      <c r="B60" t="s">
        <v>307</v>
      </c>
      <c r="C60" t="s">
        <v>46</v>
      </c>
      <c r="D60" t="s">
        <v>308</v>
      </c>
      <c r="E60" t="s">
        <v>119</v>
      </c>
      <c r="F60" t="s">
        <v>309</v>
      </c>
      <c r="G60" t="s">
        <v>310</v>
      </c>
      <c r="H60">
        <v>4</v>
      </c>
      <c r="I60">
        <v>4.29</v>
      </c>
      <c r="J60" t="s">
        <v>176</v>
      </c>
      <c r="K60" t="s">
        <v>147</v>
      </c>
      <c r="L60">
        <v>256</v>
      </c>
      <c r="M60">
        <v>2018</v>
      </c>
      <c r="N60">
        <v>2018</v>
      </c>
      <c r="O60" s="2">
        <v>44885</v>
      </c>
      <c r="P60" s="2">
        <v>44878</v>
      </c>
      <c r="Q60" t="s">
        <v>119</v>
      </c>
      <c r="R60" t="s">
        <v>119</v>
      </c>
      <c r="S60" t="s">
        <v>125</v>
      </c>
      <c r="T60" t="s">
        <v>119</v>
      </c>
      <c r="U60" t="s">
        <v>119</v>
      </c>
      <c r="V60" t="s">
        <v>119</v>
      </c>
      <c r="W60">
        <v>1</v>
      </c>
      <c r="X60">
        <v>0</v>
      </c>
    </row>
    <row r="61" spans="1:24" x14ac:dyDescent="0.25">
      <c r="A61">
        <v>11282018</v>
      </c>
      <c r="B61" t="s">
        <v>546</v>
      </c>
      <c r="C61" t="s">
        <v>9</v>
      </c>
      <c r="D61" t="s">
        <v>212</v>
      </c>
      <c r="E61" t="s">
        <v>547</v>
      </c>
      <c r="F61" t="s">
        <v>548</v>
      </c>
      <c r="G61" t="s">
        <v>549</v>
      </c>
      <c r="H61">
        <v>0</v>
      </c>
      <c r="I61">
        <v>4.0599999999999996</v>
      </c>
      <c r="J61" t="s">
        <v>444</v>
      </c>
      <c r="K61" t="s">
        <v>147</v>
      </c>
      <c r="L61">
        <v>304</v>
      </c>
      <c r="M61">
        <v>2011</v>
      </c>
      <c r="N61">
        <v>2011</v>
      </c>
      <c r="O61" s="2"/>
      <c r="P61" s="2">
        <v>44646</v>
      </c>
      <c r="Q61" t="s">
        <v>132</v>
      </c>
      <c r="R61" t="s">
        <v>550</v>
      </c>
      <c r="S61" t="s">
        <v>132</v>
      </c>
      <c r="T61" t="s">
        <v>119</v>
      </c>
      <c r="U61" t="s">
        <v>119</v>
      </c>
      <c r="V61" t="s">
        <v>119</v>
      </c>
      <c r="W61">
        <v>0</v>
      </c>
      <c r="X61">
        <v>0</v>
      </c>
    </row>
    <row r="62" spans="1:24" x14ac:dyDescent="0.25">
      <c r="A62">
        <v>13139782</v>
      </c>
      <c r="B62" t="s">
        <v>1399</v>
      </c>
      <c r="C62" t="s">
        <v>1400</v>
      </c>
      <c r="D62" t="s">
        <v>1401</v>
      </c>
      <c r="E62" t="s">
        <v>119</v>
      </c>
      <c r="F62" t="s">
        <v>120</v>
      </c>
      <c r="G62" t="s">
        <v>120</v>
      </c>
      <c r="H62">
        <v>4</v>
      </c>
      <c r="I62">
        <v>3.92</v>
      </c>
      <c r="J62" t="s">
        <v>1402</v>
      </c>
      <c r="K62" t="s">
        <v>122</v>
      </c>
      <c r="L62">
        <v>31</v>
      </c>
      <c r="M62">
        <v>2011</v>
      </c>
      <c r="N62">
        <v>2011</v>
      </c>
      <c r="O62" s="2"/>
      <c r="P62" s="2">
        <v>44062</v>
      </c>
      <c r="Q62" t="s">
        <v>119</v>
      </c>
      <c r="R62" t="s">
        <v>119</v>
      </c>
      <c r="S62" t="s">
        <v>125</v>
      </c>
      <c r="T62" t="s">
        <v>119</v>
      </c>
      <c r="U62" t="s">
        <v>119</v>
      </c>
      <c r="V62" t="s">
        <v>119</v>
      </c>
      <c r="W62">
        <v>1</v>
      </c>
      <c r="X62">
        <v>0</v>
      </c>
    </row>
    <row r="63" spans="1:24" x14ac:dyDescent="0.25">
      <c r="A63">
        <v>319604</v>
      </c>
      <c r="B63" t="s">
        <v>2313</v>
      </c>
      <c r="C63" t="s">
        <v>2001</v>
      </c>
      <c r="D63" t="s">
        <v>2002</v>
      </c>
      <c r="E63" t="s">
        <v>119</v>
      </c>
      <c r="F63" t="s">
        <v>2314</v>
      </c>
      <c r="G63" t="s">
        <v>2315</v>
      </c>
      <c r="H63">
        <v>3</v>
      </c>
      <c r="I63">
        <v>3.92</v>
      </c>
      <c r="J63" t="s">
        <v>201</v>
      </c>
      <c r="K63" t="s">
        <v>147</v>
      </c>
      <c r="L63">
        <v>288</v>
      </c>
      <c r="M63">
        <v>2007</v>
      </c>
      <c r="N63">
        <v>2007</v>
      </c>
      <c r="O63" s="2"/>
      <c r="P63" s="2">
        <v>43334</v>
      </c>
      <c r="Q63" t="s">
        <v>119</v>
      </c>
      <c r="R63" t="s">
        <v>119</v>
      </c>
      <c r="S63" t="s">
        <v>125</v>
      </c>
      <c r="T63" t="s">
        <v>119</v>
      </c>
      <c r="U63" t="s">
        <v>119</v>
      </c>
      <c r="V63" t="s">
        <v>119</v>
      </c>
      <c r="W63">
        <v>1</v>
      </c>
      <c r="X63">
        <v>0</v>
      </c>
    </row>
    <row r="64" spans="1:24" x14ac:dyDescent="0.25">
      <c r="A64">
        <v>16283548</v>
      </c>
      <c r="B64" t="s">
        <v>1990</v>
      </c>
      <c r="C64" t="s">
        <v>1991</v>
      </c>
      <c r="D64" t="s">
        <v>1992</v>
      </c>
      <c r="E64" t="s">
        <v>119</v>
      </c>
      <c r="F64" t="s">
        <v>1993</v>
      </c>
      <c r="G64" t="s">
        <v>1994</v>
      </c>
      <c r="H64">
        <v>3</v>
      </c>
      <c r="I64">
        <v>4.25</v>
      </c>
      <c r="J64" t="s">
        <v>201</v>
      </c>
      <c r="K64" t="s">
        <v>147</v>
      </c>
      <c r="L64">
        <v>160</v>
      </c>
      <c r="M64">
        <v>2013</v>
      </c>
      <c r="N64">
        <v>2012</v>
      </c>
      <c r="O64" s="2">
        <v>43569</v>
      </c>
      <c r="P64" s="2">
        <v>43561</v>
      </c>
      <c r="Q64" t="s">
        <v>119</v>
      </c>
      <c r="R64" t="s">
        <v>119</v>
      </c>
      <c r="S64" t="s">
        <v>125</v>
      </c>
      <c r="T64" t="s">
        <v>119</v>
      </c>
      <c r="U64" t="s">
        <v>119</v>
      </c>
      <c r="V64" t="s">
        <v>119</v>
      </c>
      <c r="W64">
        <v>1</v>
      </c>
      <c r="X64">
        <v>0</v>
      </c>
    </row>
    <row r="65" spans="1:24" x14ac:dyDescent="0.25">
      <c r="A65">
        <v>59696349</v>
      </c>
      <c r="B65" t="s">
        <v>412</v>
      </c>
      <c r="C65" t="s">
        <v>413</v>
      </c>
      <c r="D65" t="s">
        <v>414</v>
      </c>
      <c r="E65" t="s">
        <v>119</v>
      </c>
      <c r="F65" t="s">
        <v>415</v>
      </c>
      <c r="G65" t="s">
        <v>416</v>
      </c>
      <c r="H65">
        <v>0</v>
      </c>
      <c r="I65">
        <v>4.37</v>
      </c>
      <c r="J65" t="s">
        <v>417</v>
      </c>
      <c r="K65" t="s">
        <v>140</v>
      </c>
      <c r="L65">
        <v>416</v>
      </c>
      <c r="M65">
        <v>2022</v>
      </c>
      <c r="O65" s="2"/>
      <c r="P65" s="2">
        <v>44777</v>
      </c>
      <c r="Q65" t="s">
        <v>132</v>
      </c>
      <c r="R65" t="s">
        <v>418</v>
      </c>
      <c r="S65" t="s">
        <v>132</v>
      </c>
      <c r="T65" t="s">
        <v>119</v>
      </c>
      <c r="U65" t="s">
        <v>119</v>
      </c>
      <c r="V65" t="s">
        <v>119</v>
      </c>
      <c r="W65">
        <v>0</v>
      </c>
      <c r="X65">
        <v>0</v>
      </c>
    </row>
    <row r="66" spans="1:24" x14ac:dyDescent="0.25">
      <c r="A66">
        <v>4122</v>
      </c>
      <c r="B66" t="s">
        <v>1183</v>
      </c>
      <c r="C66" t="s">
        <v>1184</v>
      </c>
      <c r="D66" t="s">
        <v>1185</v>
      </c>
      <c r="E66" t="s">
        <v>1186</v>
      </c>
      <c r="F66" t="s">
        <v>1187</v>
      </c>
      <c r="G66" t="s">
        <v>1188</v>
      </c>
      <c r="H66">
        <v>0</v>
      </c>
      <c r="I66">
        <v>4.05</v>
      </c>
      <c r="J66" t="s">
        <v>381</v>
      </c>
      <c r="K66" t="s">
        <v>147</v>
      </c>
      <c r="L66">
        <v>368</v>
      </c>
      <c r="M66">
        <v>2004</v>
      </c>
      <c r="N66">
        <v>1994</v>
      </c>
      <c r="O66" s="2"/>
      <c r="P66" s="2">
        <v>44182</v>
      </c>
      <c r="Q66" t="s">
        <v>132</v>
      </c>
      <c r="R66" t="s">
        <v>1189</v>
      </c>
      <c r="S66" t="s">
        <v>132</v>
      </c>
      <c r="T66" t="s">
        <v>119</v>
      </c>
      <c r="U66" t="s">
        <v>119</v>
      </c>
      <c r="V66" t="s">
        <v>119</v>
      </c>
      <c r="W66">
        <v>0</v>
      </c>
      <c r="X66">
        <v>0</v>
      </c>
    </row>
    <row r="67" spans="1:24" x14ac:dyDescent="0.25">
      <c r="A67">
        <v>4191136</v>
      </c>
      <c r="B67" t="s">
        <v>1489</v>
      </c>
      <c r="C67" t="s">
        <v>1490</v>
      </c>
      <c r="D67" t="s">
        <v>1491</v>
      </c>
      <c r="E67" t="s">
        <v>119</v>
      </c>
      <c r="F67" t="s">
        <v>1492</v>
      </c>
      <c r="G67" t="s">
        <v>1493</v>
      </c>
      <c r="H67">
        <v>0</v>
      </c>
      <c r="I67">
        <v>3.82</v>
      </c>
      <c r="J67" t="s">
        <v>1494</v>
      </c>
      <c r="K67" t="s">
        <v>119</v>
      </c>
      <c r="L67">
        <v>408</v>
      </c>
      <c r="N67">
        <v>1969</v>
      </c>
      <c r="O67" s="2"/>
      <c r="P67" s="2">
        <v>43982</v>
      </c>
      <c r="Q67" t="s">
        <v>132</v>
      </c>
      <c r="R67" t="s">
        <v>1495</v>
      </c>
      <c r="S67" t="s">
        <v>132</v>
      </c>
      <c r="T67" t="s">
        <v>119</v>
      </c>
      <c r="U67" t="s">
        <v>119</v>
      </c>
      <c r="V67" t="s">
        <v>119</v>
      </c>
      <c r="W67">
        <v>0</v>
      </c>
      <c r="X67">
        <v>0</v>
      </c>
    </row>
    <row r="68" spans="1:24" x14ac:dyDescent="0.25">
      <c r="A68">
        <v>7935732</v>
      </c>
      <c r="B68" t="s">
        <v>2287</v>
      </c>
      <c r="C68" t="s">
        <v>968</v>
      </c>
      <c r="D68" t="s">
        <v>969</v>
      </c>
      <c r="E68" t="s">
        <v>2288</v>
      </c>
      <c r="F68" t="s">
        <v>2289</v>
      </c>
      <c r="G68" t="s">
        <v>2290</v>
      </c>
      <c r="H68">
        <v>0</v>
      </c>
      <c r="I68">
        <v>4.2</v>
      </c>
      <c r="J68" t="s">
        <v>258</v>
      </c>
      <c r="K68" t="s">
        <v>140</v>
      </c>
      <c r="L68">
        <v>288</v>
      </c>
      <c r="M68">
        <v>2010</v>
      </c>
      <c r="N68">
        <v>2010</v>
      </c>
      <c r="O68" s="2"/>
      <c r="P68" s="2">
        <v>42482</v>
      </c>
      <c r="Q68" t="s">
        <v>2291</v>
      </c>
      <c r="R68" t="s">
        <v>2292</v>
      </c>
      <c r="S68" t="s">
        <v>132</v>
      </c>
      <c r="T68" t="s">
        <v>119</v>
      </c>
      <c r="U68" t="s">
        <v>119</v>
      </c>
      <c r="V68" t="s">
        <v>119</v>
      </c>
      <c r="W68">
        <v>0</v>
      </c>
      <c r="X68">
        <v>0</v>
      </c>
    </row>
    <row r="69" spans="1:24" x14ac:dyDescent="0.25">
      <c r="A69">
        <v>25194140</v>
      </c>
      <c r="B69" t="s">
        <v>2618</v>
      </c>
      <c r="C69" t="s">
        <v>2619</v>
      </c>
      <c r="D69" t="s">
        <v>2620</v>
      </c>
      <c r="E69" t="s">
        <v>119</v>
      </c>
      <c r="F69" t="s">
        <v>2621</v>
      </c>
      <c r="G69" t="s">
        <v>2622</v>
      </c>
      <c r="H69">
        <v>4</v>
      </c>
      <c r="I69">
        <v>4.13</v>
      </c>
      <c r="J69" t="s">
        <v>1148</v>
      </c>
      <c r="K69" t="s">
        <v>140</v>
      </c>
      <c r="L69">
        <v>224</v>
      </c>
      <c r="M69">
        <v>2015</v>
      </c>
      <c r="N69">
        <v>2015</v>
      </c>
      <c r="O69" s="2">
        <v>42802</v>
      </c>
      <c r="P69" s="2">
        <v>42744</v>
      </c>
      <c r="Q69" t="s">
        <v>2623</v>
      </c>
      <c r="R69" t="s">
        <v>2624</v>
      </c>
      <c r="S69" t="s">
        <v>125</v>
      </c>
      <c r="T69" t="s">
        <v>119</v>
      </c>
      <c r="U69" t="s">
        <v>119</v>
      </c>
      <c r="V69" t="s">
        <v>119</v>
      </c>
      <c r="W69">
        <v>1</v>
      </c>
      <c r="X69">
        <v>0</v>
      </c>
    </row>
    <row r="70" spans="1:24" x14ac:dyDescent="0.25">
      <c r="A70">
        <v>31868165</v>
      </c>
      <c r="B70" t="s">
        <v>407</v>
      </c>
      <c r="C70" t="s">
        <v>408</v>
      </c>
      <c r="D70" t="s">
        <v>409</v>
      </c>
      <c r="E70" t="s">
        <v>119</v>
      </c>
      <c r="F70" t="s">
        <v>410</v>
      </c>
      <c r="G70" t="s">
        <v>411</v>
      </c>
      <c r="H70">
        <v>4</v>
      </c>
      <c r="I70">
        <v>4.1500000000000004</v>
      </c>
      <c r="J70" t="s">
        <v>388</v>
      </c>
      <c r="K70" t="s">
        <v>147</v>
      </c>
      <c r="L70">
        <v>320</v>
      </c>
      <c r="M70">
        <v>2017</v>
      </c>
      <c r="N70">
        <v>2017</v>
      </c>
      <c r="O70" s="2">
        <v>44783</v>
      </c>
      <c r="P70" s="2">
        <v>44751</v>
      </c>
      <c r="Q70" t="s">
        <v>119</v>
      </c>
      <c r="R70" t="s">
        <v>119</v>
      </c>
      <c r="S70" t="s">
        <v>125</v>
      </c>
      <c r="T70" t="s">
        <v>119</v>
      </c>
      <c r="U70" t="s">
        <v>119</v>
      </c>
      <c r="V70" t="s">
        <v>119</v>
      </c>
      <c r="W70">
        <v>1</v>
      </c>
      <c r="X70">
        <v>0</v>
      </c>
    </row>
    <row r="71" spans="1:24" x14ac:dyDescent="0.25">
      <c r="A71">
        <v>168668</v>
      </c>
      <c r="B71" t="s">
        <v>1388</v>
      </c>
      <c r="C71" t="s">
        <v>1389</v>
      </c>
      <c r="D71" t="s">
        <v>1390</v>
      </c>
      <c r="E71" t="s">
        <v>119</v>
      </c>
      <c r="F71" t="s">
        <v>1391</v>
      </c>
      <c r="G71" t="s">
        <v>1392</v>
      </c>
      <c r="H71">
        <v>0</v>
      </c>
      <c r="I71">
        <v>3.99</v>
      </c>
      <c r="J71" t="s">
        <v>1393</v>
      </c>
      <c r="K71" t="s">
        <v>140</v>
      </c>
      <c r="L71">
        <v>453</v>
      </c>
      <c r="M71">
        <v>2004</v>
      </c>
      <c r="N71">
        <v>1961</v>
      </c>
      <c r="O71" s="2"/>
      <c r="P71" s="2">
        <v>44063</v>
      </c>
      <c r="Q71" t="s">
        <v>132</v>
      </c>
      <c r="R71" t="s">
        <v>1394</v>
      </c>
      <c r="S71" t="s">
        <v>132</v>
      </c>
      <c r="T71" t="s">
        <v>119</v>
      </c>
      <c r="U71" t="s">
        <v>119</v>
      </c>
      <c r="V71" t="s">
        <v>119</v>
      </c>
      <c r="W71">
        <v>0</v>
      </c>
      <c r="X71">
        <v>0</v>
      </c>
    </row>
    <row r="72" spans="1:24" x14ac:dyDescent="0.25">
      <c r="A72">
        <v>1019793</v>
      </c>
      <c r="B72" t="s">
        <v>604</v>
      </c>
      <c r="C72" t="s">
        <v>605</v>
      </c>
      <c r="D72" t="s">
        <v>606</v>
      </c>
      <c r="E72" t="s">
        <v>607</v>
      </c>
      <c r="F72" t="s">
        <v>120</v>
      </c>
      <c r="G72" t="s">
        <v>120</v>
      </c>
      <c r="H72">
        <v>4</v>
      </c>
      <c r="I72">
        <v>4.1100000000000003</v>
      </c>
      <c r="J72" t="s">
        <v>608</v>
      </c>
      <c r="K72" t="s">
        <v>157</v>
      </c>
      <c r="L72">
        <v>460</v>
      </c>
      <c r="M72">
        <v>2008</v>
      </c>
      <c r="N72">
        <v>1967</v>
      </c>
      <c r="O72" s="2"/>
      <c r="P72" s="2">
        <v>44565</v>
      </c>
      <c r="Q72" t="s">
        <v>609</v>
      </c>
      <c r="R72" t="s">
        <v>610</v>
      </c>
      <c r="S72" t="s">
        <v>125</v>
      </c>
      <c r="T72" t="s">
        <v>119</v>
      </c>
      <c r="U72" t="s">
        <v>119</v>
      </c>
      <c r="V72" t="s">
        <v>119</v>
      </c>
      <c r="W72">
        <v>1</v>
      </c>
      <c r="X72">
        <v>0</v>
      </c>
    </row>
    <row r="73" spans="1:24" x14ac:dyDescent="0.25">
      <c r="A73">
        <v>6671664</v>
      </c>
      <c r="B73" t="s">
        <v>2570</v>
      </c>
      <c r="C73" t="s">
        <v>2571</v>
      </c>
      <c r="D73" t="s">
        <v>2572</v>
      </c>
      <c r="E73" t="s">
        <v>119</v>
      </c>
      <c r="F73" t="s">
        <v>2573</v>
      </c>
      <c r="G73" t="s">
        <v>2574</v>
      </c>
      <c r="H73">
        <v>0</v>
      </c>
      <c r="I73">
        <v>3.89</v>
      </c>
      <c r="J73" t="s">
        <v>575</v>
      </c>
      <c r="K73" t="s">
        <v>147</v>
      </c>
      <c r="L73">
        <v>272</v>
      </c>
      <c r="M73">
        <v>2009</v>
      </c>
      <c r="N73">
        <v>2009</v>
      </c>
      <c r="O73" s="2"/>
      <c r="P73" s="2">
        <v>42875</v>
      </c>
      <c r="Q73" t="s">
        <v>132</v>
      </c>
      <c r="R73" t="s">
        <v>2575</v>
      </c>
      <c r="S73" t="s">
        <v>132</v>
      </c>
      <c r="T73" t="s">
        <v>119</v>
      </c>
      <c r="U73" t="s">
        <v>119</v>
      </c>
      <c r="V73" t="s">
        <v>119</v>
      </c>
      <c r="W73">
        <v>0</v>
      </c>
      <c r="X73">
        <v>0</v>
      </c>
    </row>
    <row r="74" spans="1:24" x14ac:dyDescent="0.25">
      <c r="A74">
        <v>64582</v>
      </c>
      <c r="B74" t="s">
        <v>1533</v>
      </c>
      <c r="C74" t="s">
        <v>901</v>
      </c>
      <c r="D74" t="s">
        <v>902</v>
      </c>
      <c r="E74" t="s">
        <v>119</v>
      </c>
      <c r="F74" t="s">
        <v>1534</v>
      </c>
      <c r="G74" t="s">
        <v>1535</v>
      </c>
      <c r="H74">
        <v>4</v>
      </c>
      <c r="I74">
        <v>4.03</v>
      </c>
      <c r="J74" t="s">
        <v>1536</v>
      </c>
      <c r="K74" t="s">
        <v>140</v>
      </c>
      <c r="L74">
        <v>352</v>
      </c>
      <c r="M74">
        <v>1988</v>
      </c>
      <c r="N74">
        <v>1987</v>
      </c>
      <c r="O74" s="2"/>
      <c r="P74" s="2">
        <v>43976</v>
      </c>
      <c r="Q74" t="s">
        <v>119</v>
      </c>
      <c r="R74" t="s">
        <v>119</v>
      </c>
      <c r="S74" t="s">
        <v>125</v>
      </c>
      <c r="T74" t="s">
        <v>119</v>
      </c>
      <c r="U74" t="s">
        <v>119</v>
      </c>
      <c r="V74" t="s">
        <v>119</v>
      </c>
      <c r="W74">
        <v>1</v>
      </c>
      <c r="X74">
        <v>0</v>
      </c>
    </row>
    <row r="75" spans="1:24" x14ac:dyDescent="0.25">
      <c r="A75">
        <v>39775724</v>
      </c>
      <c r="B75" t="s">
        <v>1292</v>
      </c>
      <c r="C75" t="s">
        <v>1293</v>
      </c>
      <c r="D75" t="s">
        <v>1294</v>
      </c>
      <c r="E75" t="s">
        <v>119</v>
      </c>
      <c r="F75" t="s">
        <v>120</v>
      </c>
      <c r="G75" t="s">
        <v>120</v>
      </c>
      <c r="H75">
        <v>4</v>
      </c>
      <c r="I75">
        <v>3.92</v>
      </c>
      <c r="J75" t="s">
        <v>1295</v>
      </c>
      <c r="K75" t="s">
        <v>122</v>
      </c>
      <c r="L75">
        <v>224</v>
      </c>
      <c r="M75">
        <v>2018</v>
      </c>
      <c r="O75" s="2">
        <v>44130</v>
      </c>
      <c r="P75" s="2">
        <v>44115</v>
      </c>
      <c r="Q75" t="s">
        <v>119</v>
      </c>
      <c r="R75" t="s">
        <v>119</v>
      </c>
      <c r="S75" t="s">
        <v>125</v>
      </c>
      <c r="T75" t="s">
        <v>119</v>
      </c>
      <c r="U75" t="s">
        <v>119</v>
      </c>
      <c r="V75" t="s">
        <v>119</v>
      </c>
      <c r="W75">
        <v>1</v>
      </c>
      <c r="X75">
        <v>0</v>
      </c>
    </row>
    <row r="76" spans="1:24" x14ac:dyDescent="0.25">
      <c r="A76">
        <v>17977529</v>
      </c>
      <c r="B76" t="s">
        <v>2588</v>
      </c>
      <c r="C76" t="s">
        <v>560</v>
      </c>
      <c r="D76" t="s">
        <v>561</v>
      </c>
      <c r="E76" t="s">
        <v>119</v>
      </c>
      <c r="F76" t="s">
        <v>2589</v>
      </c>
      <c r="G76" t="s">
        <v>2590</v>
      </c>
      <c r="H76">
        <v>4</v>
      </c>
      <c r="I76">
        <v>3.82</v>
      </c>
      <c r="J76" t="s">
        <v>2591</v>
      </c>
      <c r="K76" t="s">
        <v>140</v>
      </c>
      <c r="L76">
        <v>276</v>
      </c>
      <c r="M76">
        <v>2013</v>
      </c>
      <c r="N76">
        <v>2013</v>
      </c>
      <c r="O76" s="2">
        <v>42864</v>
      </c>
      <c r="P76" s="2">
        <v>42850</v>
      </c>
      <c r="Q76" t="s">
        <v>2322</v>
      </c>
      <c r="R76" t="s">
        <v>2592</v>
      </c>
      <c r="S76" t="s">
        <v>125</v>
      </c>
      <c r="T76" t="s">
        <v>119</v>
      </c>
      <c r="U76" t="s">
        <v>119</v>
      </c>
      <c r="V76" t="s">
        <v>119</v>
      </c>
      <c r="W76">
        <v>1</v>
      </c>
      <c r="X76">
        <v>0</v>
      </c>
    </row>
    <row r="77" spans="1:24" x14ac:dyDescent="0.25">
      <c r="A77">
        <v>3735293</v>
      </c>
      <c r="B77" t="s">
        <v>2600</v>
      </c>
      <c r="C77" t="s">
        <v>2601</v>
      </c>
      <c r="D77" t="s">
        <v>2602</v>
      </c>
      <c r="E77" t="s">
        <v>119</v>
      </c>
      <c r="F77" t="s">
        <v>2603</v>
      </c>
      <c r="G77" t="s">
        <v>2604</v>
      </c>
      <c r="H77">
        <v>0</v>
      </c>
      <c r="I77">
        <v>4.3899999999999997</v>
      </c>
      <c r="J77" t="s">
        <v>2605</v>
      </c>
      <c r="K77" t="s">
        <v>140</v>
      </c>
      <c r="L77">
        <v>464</v>
      </c>
      <c r="M77">
        <v>2008</v>
      </c>
      <c r="N77">
        <v>2007</v>
      </c>
      <c r="O77" s="2"/>
      <c r="P77" s="2">
        <v>42850</v>
      </c>
      <c r="Q77" t="s">
        <v>2598</v>
      </c>
      <c r="R77" t="s">
        <v>2606</v>
      </c>
      <c r="S77" t="s">
        <v>132</v>
      </c>
      <c r="T77" t="s">
        <v>119</v>
      </c>
      <c r="U77" t="s">
        <v>119</v>
      </c>
      <c r="V77" t="s">
        <v>119</v>
      </c>
      <c r="W77">
        <v>0</v>
      </c>
      <c r="X77">
        <v>0</v>
      </c>
    </row>
    <row r="78" spans="1:24" x14ac:dyDescent="0.25">
      <c r="A78">
        <v>25875882</v>
      </c>
      <c r="B78" t="s">
        <v>2455</v>
      </c>
      <c r="C78" t="s">
        <v>2456</v>
      </c>
      <c r="D78" t="s">
        <v>2457</v>
      </c>
      <c r="E78" t="s">
        <v>2458</v>
      </c>
      <c r="F78" t="s">
        <v>120</v>
      </c>
      <c r="G78" t="s">
        <v>120</v>
      </c>
      <c r="H78">
        <v>5</v>
      </c>
      <c r="I78">
        <v>3.66</v>
      </c>
      <c r="J78" t="s">
        <v>583</v>
      </c>
      <c r="K78" t="s">
        <v>122</v>
      </c>
      <c r="L78">
        <v>384</v>
      </c>
      <c r="M78">
        <v>2015</v>
      </c>
      <c r="N78">
        <v>2015</v>
      </c>
      <c r="O78" s="2">
        <v>42965</v>
      </c>
      <c r="P78" s="2">
        <v>42959</v>
      </c>
      <c r="Q78" t="s">
        <v>2322</v>
      </c>
      <c r="R78" t="s">
        <v>2459</v>
      </c>
      <c r="S78" t="s">
        <v>125</v>
      </c>
      <c r="T78" t="s">
        <v>119</v>
      </c>
      <c r="U78" t="s">
        <v>119</v>
      </c>
      <c r="V78" t="s">
        <v>119</v>
      </c>
      <c r="W78">
        <v>1</v>
      </c>
      <c r="X78">
        <v>0</v>
      </c>
    </row>
    <row r="79" spans="1:24" x14ac:dyDescent="0.25">
      <c r="A79">
        <v>4947464</v>
      </c>
      <c r="B79" t="s">
        <v>2080</v>
      </c>
      <c r="C79" t="s">
        <v>1141</v>
      </c>
      <c r="D79" t="s">
        <v>1142</v>
      </c>
      <c r="E79" t="s">
        <v>119</v>
      </c>
      <c r="F79" t="s">
        <v>120</v>
      </c>
      <c r="G79" t="s">
        <v>120</v>
      </c>
      <c r="H79">
        <v>5</v>
      </c>
      <c r="I79">
        <v>4.5</v>
      </c>
      <c r="J79" t="s">
        <v>119</v>
      </c>
      <c r="K79" t="s">
        <v>122</v>
      </c>
      <c r="N79">
        <v>1928</v>
      </c>
      <c r="O79" s="2"/>
      <c r="P79" s="2">
        <v>43508</v>
      </c>
      <c r="Q79" t="s">
        <v>119</v>
      </c>
      <c r="R79" t="s">
        <v>119</v>
      </c>
      <c r="S79" t="s">
        <v>125</v>
      </c>
      <c r="T79" t="s">
        <v>119</v>
      </c>
      <c r="U79" t="s">
        <v>119</v>
      </c>
      <c r="V79" t="s">
        <v>119</v>
      </c>
      <c r="W79">
        <v>1</v>
      </c>
      <c r="X79">
        <v>0</v>
      </c>
    </row>
    <row r="80" spans="1:24" x14ac:dyDescent="0.25">
      <c r="A80">
        <v>337123</v>
      </c>
      <c r="B80" t="s">
        <v>1091</v>
      </c>
      <c r="C80" t="s">
        <v>1092</v>
      </c>
      <c r="D80" t="s">
        <v>1093</v>
      </c>
      <c r="E80" t="s">
        <v>119</v>
      </c>
      <c r="F80" t="s">
        <v>1094</v>
      </c>
      <c r="G80" t="s">
        <v>1095</v>
      </c>
      <c r="H80">
        <v>0</v>
      </c>
      <c r="I80">
        <v>4.0599999999999996</v>
      </c>
      <c r="J80" t="s">
        <v>1096</v>
      </c>
      <c r="K80" t="s">
        <v>140</v>
      </c>
      <c r="L80">
        <v>384</v>
      </c>
      <c r="M80">
        <v>1993</v>
      </c>
      <c r="N80">
        <v>1992</v>
      </c>
      <c r="O80" s="2"/>
      <c r="P80" s="2">
        <v>44212</v>
      </c>
      <c r="Q80" t="s">
        <v>132</v>
      </c>
      <c r="R80" t="s">
        <v>1097</v>
      </c>
      <c r="S80" t="s">
        <v>132</v>
      </c>
      <c r="T80" t="s">
        <v>119</v>
      </c>
      <c r="U80" t="s">
        <v>119</v>
      </c>
      <c r="V80" t="s">
        <v>119</v>
      </c>
      <c r="W80">
        <v>0</v>
      </c>
      <c r="X80">
        <v>0</v>
      </c>
    </row>
    <row r="81" spans="1:24" x14ac:dyDescent="0.25">
      <c r="A81">
        <v>8686650</v>
      </c>
      <c r="B81" t="s">
        <v>2278</v>
      </c>
      <c r="C81" t="s">
        <v>2279</v>
      </c>
      <c r="D81" t="s">
        <v>2280</v>
      </c>
      <c r="E81" t="s">
        <v>2281</v>
      </c>
      <c r="F81" t="s">
        <v>2282</v>
      </c>
      <c r="G81" t="s">
        <v>2283</v>
      </c>
      <c r="H81">
        <v>0</v>
      </c>
      <c r="I81">
        <v>4.1900000000000004</v>
      </c>
      <c r="J81" t="s">
        <v>2284</v>
      </c>
      <c r="K81" t="s">
        <v>147</v>
      </c>
      <c r="L81">
        <v>463</v>
      </c>
      <c r="M81">
        <v>2010</v>
      </c>
      <c r="N81">
        <v>2010</v>
      </c>
      <c r="O81" s="2"/>
      <c r="P81" s="2">
        <v>42482</v>
      </c>
      <c r="Q81" t="s">
        <v>2285</v>
      </c>
      <c r="R81" t="s">
        <v>2286</v>
      </c>
      <c r="S81" t="s">
        <v>132</v>
      </c>
      <c r="T81" t="s">
        <v>119</v>
      </c>
      <c r="U81" t="s">
        <v>119</v>
      </c>
      <c r="V81" t="s">
        <v>119</v>
      </c>
      <c r="W81">
        <v>0</v>
      </c>
      <c r="X81">
        <v>0</v>
      </c>
    </row>
    <row r="82" spans="1:24" x14ac:dyDescent="0.25">
      <c r="A82">
        <v>44333935</v>
      </c>
      <c r="B82" t="s">
        <v>1418</v>
      </c>
      <c r="C82" t="s">
        <v>1419</v>
      </c>
      <c r="D82" t="s">
        <v>1420</v>
      </c>
      <c r="E82" t="s">
        <v>119</v>
      </c>
      <c r="F82" t="s">
        <v>1421</v>
      </c>
      <c r="G82" t="s">
        <v>1422</v>
      </c>
      <c r="H82">
        <v>0</v>
      </c>
      <c r="I82">
        <v>4.17</v>
      </c>
      <c r="J82" t="s">
        <v>241</v>
      </c>
      <c r="K82" t="s">
        <v>1423</v>
      </c>
      <c r="M82">
        <v>2019</v>
      </c>
      <c r="N82">
        <v>2019</v>
      </c>
      <c r="O82" s="2"/>
      <c r="P82" s="2">
        <v>43972</v>
      </c>
      <c r="Q82" t="s">
        <v>132</v>
      </c>
      <c r="R82" t="s">
        <v>1424</v>
      </c>
      <c r="S82" t="s">
        <v>132</v>
      </c>
      <c r="T82" t="s">
        <v>119</v>
      </c>
      <c r="U82" t="s">
        <v>119</v>
      </c>
      <c r="V82" t="s">
        <v>119</v>
      </c>
      <c r="W82">
        <v>0</v>
      </c>
      <c r="X82">
        <v>0</v>
      </c>
    </row>
    <row r="83" spans="1:24" x14ac:dyDescent="0.25">
      <c r="A83">
        <v>43970779</v>
      </c>
      <c r="B83" t="s">
        <v>253</v>
      </c>
      <c r="C83" t="s">
        <v>254</v>
      </c>
      <c r="D83" t="s">
        <v>255</v>
      </c>
      <c r="E83" t="s">
        <v>119</v>
      </c>
      <c r="F83" t="s">
        <v>256</v>
      </c>
      <c r="G83" t="s">
        <v>257</v>
      </c>
      <c r="H83">
        <v>0</v>
      </c>
      <c r="I83">
        <v>4.6399999999999997</v>
      </c>
      <c r="J83" t="s">
        <v>258</v>
      </c>
      <c r="K83" t="s">
        <v>147</v>
      </c>
      <c r="L83">
        <v>728</v>
      </c>
      <c r="M83">
        <v>2019</v>
      </c>
      <c r="O83" s="2"/>
      <c r="P83" s="2">
        <v>44930</v>
      </c>
      <c r="Q83" t="s">
        <v>132</v>
      </c>
      <c r="R83" t="s">
        <v>259</v>
      </c>
      <c r="S83" t="s">
        <v>132</v>
      </c>
      <c r="T83" t="s">
        <v>119</v>
      </c>
      <c r="U83" t="s">
        <v>119</v>
      </c>
      <c r="V83" t="s">
        <v>119</v>
      </c>
      <c r="W83">
        <v>0</v>
      </c>
      <c r="X83">
        <v>0</v>
      </c>
    </row>
    <row r="84" spans="1:24" x14ac:dyDescent="0.25">
      <c r="A84">
        <v>61329</v>
      </c>
      <c r="B84" t="s">
        <v>824</v>
      </c>
      <c r="C84" t="s">
        <v>825</v>
      </c>
      <c r="D84" t="s">
        <v>826</v>
      </c>
      <c r="E84" t="s">
        <v>827</v>
      </c>
      <c r="F84" t="s">
        <v>828</v>
      </c>
      <c r="G84" t="s">
        <v>829</v>
      </c>
      <c r="H84">
        <v>4</v>
      </c>
      <c r="I84">
        <v>4.01</v>
      </c>
      <c r="J84" t="s">
        <v>575</v>
      </c>
      <c r="K84" t="s">
        <v>140</v>
      </c>
      <c r="L84">
        <v>211</v>
      </c>
      <c r="M84">
        <v>2006</v>
      </c>
      <c r="N84">
        <v>2006</v>
      </c>
      <c r="O84" s="2">
        <v>44478</v>
      </c>
      <c r="P84" s="2">
        <v>42856</v>
      </c>
      <c r="Q84" t="s">
        <v>830</v>
      </c>
      <c r="R84" t="s">
        <v>831</v>
      </c>
      <c r="S84" t="s">
        <v>125</v>
      </c>
      <c r="T84" t="s">
        <v>119</v>
      </c>
      <c r="U84" t="s">
        <v>119</v>
      </c>
      <c r="V84" t="s">
        <v>119</v>
      </c>
      <c r="W84">
        <v>1</v>
      </c>
      <c r="X84">
        <v>0</v>
      </c>
    </row>
    <row r="85" spans="1:24" x14ac:dyDescent="0.25">
      <c r="A85">
        <v>31847513</v>
      </c>
      <c r="B85" t="s">
        <v>2491</v>
      </c>
      <c r="C85" t="s">
        <v>2492</v>
      </c>
      <c r="D85" t="s">
        <v>2493</v>
      </c>
      <c r="E85" t="s">
        <v>119</v>
      </c>
      <c r="F85" t="s">
        <v>120</v>
      </c>
      <c r="G85" t="s">
        <v>120</v>
      </c>
      <c r="H85">
        <v>0</v>
      </c>
      <c r="I85">
        <v>4.3099999999999996</v>
      </c>
      <c r="J85" t="s">
        <v>2492</v>
      </c>
      <c r="K85" t="s">
        <v>122</v>
      </c>
      <c r="L85">
        <v>145</v>
      </c>
      <c r="M85">
        <v>2016</v>
      </c>
      <c r="O85" s="2"/>
      <c r="P85" s="2">
        <v>42626</v>
      </c>
      <c r="Q85" t="s">
        <v>214</v>
      </c>
      <c r="R85" t="s">
        <v>2494</v>
      </c>
      <c r="S85" t="s">
        <v>132</v>
      </c>
      <c r="T85" t="s">
        <v>119</v>
      </c>
      <c r="U85" t="s">
        <v>119</v>
      </c>
      <c r="V85" t="s">
        <v>119</v>
      </c>
      <c r="W85">
        <v>0</v>
      </c>
      <c r="X85">
        <v>0</v>
      </c>
    </row>
    <row r="86" spans="1:24" x14ac:dyDescent="0.25">
      <c r="A86">
        <v>13588356</v>
      </c>
      <c r="B86" t="s">
        <v>87</v>
      </c>
      <c r="C86" t="s">
        <v>205</v>
      </c>
      <c r="D86" t="s">
        <v>206</v>
      </c>
      <c r="E86" t="s">
        <v>119</v>
      </c>
      <c r="F86" t="s">
        <v>1708</v>
      </c>
      <c r="G86" t="s">
        <v>1709</v>
      </c>
      <c r="H86">
        <v>0</v>
      </c>
      <c r="I86">
        <v>4.29</v>
      </c>
      <c r="J86" t="s">
        <v>225</v>
      </c>
      <c r="K86" t="s">
        <v>147</v>
      </c>
      <c r="L86">
        <v>287</v>
      </c>
      <c r="M86">
        <v>2012</v>
      </c>
      <c r="N86">
        <v>2012</v>
      </c>
      <c r="O86" s="2"/>
      <c r="P86" s="2">
        <v>43838</v>
      </c>
      <c r="Q86" t="s">
        <v>132</v>
      </c>
      <c r="R86" t="s">
        <v>1710</v>
      </c>
      <c r="S86" t="s">
        <v>132</v>
      </c>
      <c r="T86" t="s">
        <v>119</v>
      </c>
      <c r="U86" t="s">
        <v>119</v>
      </c>
      <c r="V86" t="s">
        <v>119</v>
      </c>
      <c r="W86">
        <v>0</v>
      </c>
      <c r="X86">
        <v>0</v>
      </c>
    </row>
    <row r="87" spans="1:24" x14ac:dyDescent="0.25">
      <c r="A87">
        <v>52913899</v>
      </c>
      <c r="B87" t="s">
        <v>267</v>
      </c>
      <c r="C87" t="s">
        <v>268</v>
      </c>
      <c r="D87" t="s">
        <v>269</v>
      </c>
      <c r="E87" t="s">
        <v>270</v>
      </c>
      <c r="F87" t="s">
        <v>120</v>
      </c>
      <c r="G87" t="s">
        <v>271</v>
      </c>
      <c r="H87">
        <v>0</v>
      </c>
      <c r="I87">
        <v>4.1100000000000003</v>
      </c>
      <c r="J87" t="s">
        <v>272</v>
      </c>
      <c r="K87" t="s">
        <v>273</v>
      </c>
      <c r="L87">
        <v>275</v>
      </c>
      <c r="M87">
        <v>2020</v>
      </c>
      <c r="N87">
        <v>2019</v>
      </c>
      <c r="O87" s="2"/>
      <c r="P87" s="2">
        <v>44914</v>
      </c>
      <c r="Q87" t="s">
        <v>274</v>
      </c>
      <c r="R87" t="s">
        <v>275</v>
      </c>
      <c r="S87" t="s">
        <v>265</v>
      </c>
      <c r="T87" t="s">
        <v>119</v>
      </c>
      <c r="U87" t="s">
        <v>119</v>
      </c>
      <c r="V87" t="s">
        <v>119</v>
      </c>
      <c r="W87">
        <v>1</v>
      </c>
      <c r="X87">
        <v>0</v>
      </c>
    </row>
    <row r="88" spans="1:24" x14ac:dyDescent="0.25">
      <c r="A88">
        <v>26533216</v>
      </c>
      <c r="B88" t="s">
        <v>1800</v>
      </c>
      <c r="C88" t="s">
        <v>1801</v>
      </c>
      <c r="D88" t="s">
        <v>1802</v>
      </c>
      <c r="E88" t="s">
        <v>119</v>
      </c>
      <c r="F88" t="s">
        <v>1803</v>
      </c>
      <c r="G88" t="s">
        <v>1804</v>
      </c>
      <c r="H88">
        <v>0</v>
      </c>
      <c r="I88">
        <v>4.13</v>
      </c>
      <c r="J88" t="s">
        <v>1805</v>
      </c>
      <c r="K88" t="s">
        <v>140</v>
      </c>
      <c r="L88">
        <v>276</v>
      </c>
      <c r="M88">
        <v>2015</v>
      </c>
      <c r="N88">
        <v>2015</v>
      </c>
      <c r="O88" s="2"/>
      <c r="P88" s="2">
        <v>43645</v>
      </c>
      <c r="Q88" t="s">
        <v>265</v>
      </c>
      <c r="R88" t="s">
        <v>1806</v>
      </c>
      <c r="S88" t="s">
        <v>265</v>
      </c>
      <c r="T88" t="s">
        <v>119</v>
      </c>
      <c r="U88" t="s">
        <v>119</v>
      </c>
      <c r="V88" t="s">
        <v>119</v>
      </c>
      <c r="W88">
        <v>1</v>
      </c>
      <c r="X88">
        <v>0</v>
      </c>
    </row>
    <row r="89" spans="1:24" x14ac:dyDescent="0.25">
      <c r="A89">
        <v>1509478</v>
      </c>
      <c r="B89" t="s">
        <v>2148</v>
      </c>
      <c r="C89" t="s">
        <v>2144</v>
      </c>
      <c r="D89" t="s">
        <v>2145</v>
      </c>
      <c r="E89" t="s">
        <v>119</v>
      </c>
      <c r="F89" t="s">
        <v>2149</v>
      </c>
      <c r="G89" t="s">
        <v>2150</v>
      </c>
      <c r="H89">
        <v>5</v>
      </c>
      <c r="I89">
        <v>3.94</v>
      </c>
      <c r="J89" t="s">
        <v>2151</v>
      </c>
      <c r="K89" t="s">
        <v>147</v>
      </c>
      <c r="L89">
        <v>416</v>
      </c>
      <c r="M89">
        <v>2007</v>
      </c>
      <c r="N89">
        <v>1926</v>
      </c>
      <c r="O89" s="2"/>
      <c r="P89" s="2">
        <v>43508</v>
      </c>
      <c r="Q89" t="s">
        <v>119</v>
      </c>
      <c r="R89" t="s">
        <v>119</v>
      </c>
      <c r="S89" t="s">
        <v>125</v>
      </c>
      <c r="T89" t="s">
        <v>119</v>
      </c>
      <c r="U89" t="s">
        <v>119</v>
      </c>
      <c r="V89" t="s">
        <v>119</v>
      </c>
      <c r="W89">
        <v>1</v>
      </c>
      <c r="X89">
        <v>0</v>
      </c>
    </row>
    <row r="90" spans="1:24" x14ac:dyDescent="0.25">
      <c r="A90">
        <v>360470</v>
      </c>
      <c r="B90" t="s">
        <v>2143</v>
      </c>
      <c r="C90" t="s">
        <v>2144</v>
      </c>
      <c r="D90" t="s">
        <v>2145</v>
      </c>
      <c r="E90" t="s">
        <v>119</v>
      </c>
      <c r="F90" t="s">
        <v>2146</v>
      </c>
      <c r="G90" t="s">
        <v>2147</v>
      </c>
      <c r="H90">
        <v>4</v>
      </c>
      <c r="I90">
        <v>3.87</v>
      </c>
      <c r="J90" t="s">
        <v>1506</v>
      </c>
      <c r="K90" t="s">
        <v>140</v>
      </c>
      <c r="L90">
        <v>137</v>
      </c>
      <c r="M90">
        <v>1989</v>
      </c>
      <c r="O90" s="2"/>
      <c r="P90" s="2">
        <v>43508</v>
      </c>
      <c r="Q90" t="s">
        <v>119</v>
      </c>
      <c r="R90" t="s">
        <v>119</v>
      </c>
      <c r="S90" t="s">
        <v>125</v>
      </c>
      <c r="T90" t="s">
        <v>119</v>
      </c>
      <c r="U90" t="s">
        <v>119</v>
      </c>
      <c r="V90" t="s">
        <v>119</v>
      </c>
      <c r="W90">
        <v>1</v>
      </c>
      <c r="X90">
        <v>0</v>
      </c>
    </row>
    <row r="91" spans="1:24" x14ac:dyDescent="0.25">
      <c r="A91">
        <v>28952090</v>
      </c>
      <c r="B91" t="s">
        <v>1675</v>
      </c>
      <c r="C91" t="s">
        <v>1676</v>
      </c>
      <c r="D91" t="s">
        <v>1677</v>
      </c>
      <c r="E91" t="s">
        <v>1678</v>
      </c>
      <c r="F91" t="s">
        <v>120</v>
      </c>
      <c r="G91" t="s">
        <v>120</v>
      </c>
      <c r="H91">
        <v>0</v>
      </c>
      <c r="I91">
        <v>4.2300000000000004</v>
      </c>
      <c r="J91" t="s">
        <v>1679</v>
      </c>
      <c r="K91" t="s">
        <v>122</v>
      </c>
      <c r="L91">
        <v>166</v>
      </c>
      <c r="M91">
        <v>2013</v>
      </c>
      <c r="N91">
        <v>41</v>
      </c>
      <c r="O91" s="2"/>
      <c r="P91" s="2">
        <v>43829</v>
      </c>
      <c r="Q91" t="s">
        <v>265</v>
      </c>
      <c r="R91" t="s">
        <v>1680</v>
      </c>
      <c r="S91" t="s">
        <v>265</v>
      </c>
      <c r="T91" t="s">
        <v>119</v>
      </c>
      <c r="U91" t="s">
        <v>119</v>
      </c>
      <c r="V91" t="s">
        <v>119</v>
      </c>
      <c r="W91">
        <v>1</v>
      </c>
      <c r="X91">
        <v>0</v>
      </c>
    </row>
    <row r="92" spans="1:24" x14ac:dyDescent="0.25">
      <c r="A92">
        <v>25744928</v>
      </c>
      <c r="B92" t="s">
        <v>567</v>
      </c>
      <c r="C92" t="s">
        <v>384</v>
      </c>
      <c r="D92" t="s">
        <v>385</v>
      </c>
      <c r="E92" t="s">
        <v>119</v>
      </c>
      <c r="F92" t="s">
        <v>568</v>
      </c>
      <c r="G92" t="s">
        <v>569</v>
      </c>
      <c r="H92">
        <v>4</v>
      </c>
      <c r="I92">
        <v>4.1900000000000004</v>
      </c>
      <c r="J92" t="s">
        <v>570</v>
      </c>
      <c r="K92" t="s">
        <v>147</v>
      </c>
      <c r="L92">
        <v>296</v>
      </c>
      <c r="M92">
        <v>2016</v>
      </c>
      <c r="N92">
        <v>2016</v>
      </c>
      <c r="O92" s="2">
        <v>44637</v>
      </c>
      <c r="P92" s="2">
        <v>44301</v>
      </c>
      <c r="Q92" t="s">
        <v>119</v>
      </c>
      <c r="R92" t="s">
        <v>119</v>
      </c>
      <c r="S92" t="s">
        <v>125</v>
      </c>
      <c r="T92" t="s">
        <v>571</v>
      </c>
      <c r="U92" t="s">
        <v>119</v>
      </c>
      <c r="V92" t="s">
        <v>119</v>
      </c>
      <c r="W92">
        <v>1</v>
      </c>
      <c r="X92">
        <v>0</v>
      </c>
    </row>
    <row r="93" spans="1:24" x14ac:dyDescent="0.25">
      <c r="A93">
        <v>6828896</v>
      </c>
      <c r="B93" t="s">
        <v>2388</v>
      </c>
      <c r="C93" t="s">
        <v>2389</v>
      </c>
      <c r="D93" t="s">
        <v>2390</v>
      </c>
      <c r="E93" t="s">
        <v>119</v>
      </c>
      <c r="F93" t="s">
        <v>2391</v>
      </c>
      <c r="G93" t="s">
        <v>2392</v>
      </c>
      <c r="H93">
        <v>4</v>
      </c>
      <c r="I93">
        <v>4.03</v>
      </c>
      <c r="J93" t="s">
        <v>570</v>
      </c>
      <c r="K93" t="s">
        <v>147</v>
      </c>
      <c r="L93">
        <v>246</v>
      </c>
      <c r="M93">
        <v>2010</v>
      </c>
      <c r="N93">
        <v>2010</v>
      </c>
      <c r="O93" s="2">
        <v>43045</v>
      </c>
      <c r="P93" s="2">
        <v>42165</v>
      </c>
      <c r="Q93" t="s">
        <v>2386</v>
      </c>
      <c r="R93" t="s">
        <v>2393</v>
      </c>
      <c r="S93" t="s">
        <v>125</v>
      </c>
      <c r="T93" t="s">
        <v>119</v>
      </c>
      <c r="U93" t="s">
        <v>119</v>
      </c>
      <c r="V93" t="s">
        <v>119</v>
      </c>
      <c r="W93">
        <v>1</v>
      </c>
      <c r="X93">
        <v>0</v>
      </c>
    </row>
    <row r="94" spans="1:24" x14ac:dyDescent="0.25">
      <c r="A94">
        <v>836230</v>
      </c>
      <c r="B94" t="s">
        <v>2152</v>
      </c>
      <c r="C94" t="s">
        <v>2144</v>
      </c>
      <c r="D94" t="s">
        <v>2145</v>
      </c>
      <c r="E94" t="s">
        <v>119</v>
      </c>
      <c r="F94" t="s">
        <v>2153</v>
      </c>
      <c r="G94" t="s">
        <v>2154</v>
      </c>
      <c r="H94">
        <v>4</v>
      </c>
      <c r="I94">
        <v>3.96</v>
      </c>
      <c r="J94" t="s">
        <v>2155</v>
      </c>
      <c r="K94" t="s">
        <v>147</v>
      </c>
      <c r="L94">
        <v>208</v>
      </c>
      <c r="M94">
        <v>2006</v>
      </c>
      <c r="N94">
        <v>1925</v>
      </c>
      <c r="O94" s="2"/>
      <c r="P94" s="2">
        <v>43508</v>
      </c>
      <c r="Q94" t="s">
        <v>119</v>
      </c>
      <c r="R94" t="s">
        <v>119</v>
      </c>
      <c r="S94" t="s">
        <v>125</v>
      </c>
      <c r="T94" t="s">
        <v>119</v>
      </c>
      <c r="U94" t="s">
        <v>119</v>
      </c>
      <c r="V94" t="s">
        <v>119</v>
      </c>
      <c r="W94">
        <v>1</v>
      </c>
      <c r="X94">
        <v>0</v>
      </c>
    </row>
    <row r="95" spans="1:24" x14ac:dyDescent="0.25">
      <c r="A95">
        <v>43690769</v>
      </c>
      <c r="B95" t="s">
        <v>464</v>
      </c>
      <c r="C95" t="s">
        <v>465</v>
      </c>
      <c r="D95" t="s">
        <v>466</v>
      </c>
      <c r="E95" t="s">
        <v>119</v>
      </c>
      <c r="F95" t="s">
        <v>120</v>
      </c>
      <c r="G95" t="s">
        <v>120</v>
      </c>
      <c r="H95">
        <v>5</v>
      </c>
      <c r="I95">
        <v>4.2699999999999996</v>
      </c>
      <c r="J95" t="s">
        <v>467</v>
      </c>
      <c r="K95" t="s">
        <v>140</v>
      </c>
      <c r="L95">
        <v>221</v>
      </c>
      <c r="M95">
        <v>2018</v>
      </c>
      <c r="N95">
        <v>1990</v>
      </c>
      <c r="O95" s="2">
        <v>44731</v>
      </c>
      <c r="P95" s="2">
        <v>44714</v>
      </c>
      <c r="Q95" t="s">
        <v>119</v>
      </c>
      <c r="R95" t="s">
        <v>119</v>
      </c>
      <c r="S95" t="s">
        <v>125</v>
      </c>
      <c r="T95" t="s">
        <v>468</v>
      </c>
      <c r="U95" t="s">
        <v>119</v>
      </c>
      <c r="V95" t="s">
        <v>119</v>
      </c>
      <c r="W95">
        <v>1</v>
      </c>
      <c r="X95">
        <v>0</v>
      </c>
    </row>
    <row r="96" spans="1:24" x14ac:dyDescent="0.25">
      <c r="A96">
        <v>762756</v>
      </c>
      <c r="B96" t="s">
        <v>276</v>
      </c>
      <c r="C96" t="s">
        <v>277</v>
      </c>
      <c r="D96" t="s">
        <v>278</v>
      </c>
      <c r="E96" t="s">
        <v>119</v>
      </c>
      <c r="F96" t="s">
        <v>279</v>
      </c>
      <c r="G96" t="s">
        <v>280</v>
      </c>
      <c r="H96">
        <v>5</v>
      </c>
      <c r="I96">
        <v>3.95</v>
      </c>
      <c r="J96" t="s">
        <v>281</v>
      </c>
      <c r="K96" t="s">
        <v>140</v>
      </c>
      <c r="L96">
        <v>782</v>
      </c>
      <c r="M96">
        <v>1999</v>
      </c>
      <c r="N96">
        <v>1959</v>
      </c>
      <c r="O96" s="2"/>
      <c r="P96" s="2">
        <v>44915</v>
      </c>
      <c r="Q96" t="s">
        <v>282</v>
      </c>
      <c r="R96" t="s">
        <v>283</v>
      </c>
      <c r="S96" t="s">
        <v>125</v>
      </c>
      <c r="T96" t="s">
        <v>119</v>
      </c>
      <c r="U96" t="s">
        <v>119</v>
      </c>
      <c r="V96" t="s">
        <v>119</v>
      </c>
      <c r="W96">
        <v>1</v>
      </c>
      <c r="X96">
        <v>0</v>
      </c>
    </row>
    <row r="97" spans="1:24" x14ac:dyDescent="0.25">
      <c r="A97">
        <v>1001668</v>
      </c>
      <c r="B97" t="s">
        <v>1666</v>
      </c>
      <c r="C97" t="s">
        <v>885</v>
      </c>
      <c r="D97" t="s">
        <v>886</v>
      </c>
      <c r="E97" t="s">
        <v>119</v>
      </c>
      <c r="F97" t="s">
        <v>1667</v>
      </c>
      <c r="G97" t="s">
        <v>1668</v>
      </c>
      <c r="H97">
        <v>0</v>
      </c>
      <c r="I97">
        <v>4.01</v>
      </c>
      <c r="J97" t="s">
        <v>272</v>
      </c>
      <c r="K97" t="s">
        <v>140</v>
      </c>
      <c r="L97">
        <v>158</v>
      </c>
      <c r="M97">
        <v>2005</v>
      </c>
      <c r="N97">
        <v>1956</v>
      </c>
      <c r="O97" s="2"/>
      <c r="P97" s="2">
        <v>43888</v>
      </c>
      <c r="Q97" t="s">
        <v>132</v>
      </c>
      <c r="R97" t="s">
        <v>1669</v>
      </c>
      <c r="S97" t="s">
        <v>132</v>
      </c>
      <c r="T97" t="s">
        <v>119</v>
      </c>
      <c r="U97" t="s">
        <v>119</v>
      </c>
      <c r="V97" t="s">
        <v>119</v>
      </c>
      <c r="W97">
        <v>0</v>
      </c>
      <c r="X97">
        <v>0</v>
      </c>
    </row>
    <row r="98" spans="1:24" x14ac:dyDescent="0.25">
      <c r="A98">
        <v>20497612</v>
      </c>
      <c r="B98" t="s">
        <v>2846</v>
      </c>
      <c r="C98" t="s">
        <v>915</v>
      </c>
      <c r="D98" t="s">
        <v>916</v>
      </c>
      <c r="E98" t="s">
        <v>2847</v>
      </c>
      <c r="F98" t="s">
        <v>2848</v>
      </c>
      <c r="G98" t="s">
        <v>2849</v>
      </c>
      <c r="H98">
        <v>5</v>
      </c>
      <c r="I98">
        <v>3.87</v>
      </c>
      <c r="J98" t="s">
        <v>2850</v>
      </c>
      <c r="K98" t="s">
        <v>147</v>
      </c>
      <c r="L98">
        <v>318</v>
      </c>
      <c r="M98">
        <v>2014</v>
      </c>
      <c r="N98">
        <v>2013</v>
      </c>
      <c r="O98" s="2">
        <v>42408</v>
      </c>
      <c r="P98" s="2">
        <v>42402</v>
      </c>
      <c r="Q98" t="s">
        <v>609</v>
      </c>
      <c r="R98" t="s">
        <v>2851</v>
      </c>
      <c r="S98" t="s">
        <v>125</v>
      </c>
      <c r="T98" t="s">
        <v>119</v>
      </c>
      <c r="U98" t="s">
        <v>119</v>
      </c>
      <c r="V98" t="s">
        <v>119</v>
      </c>
      <c r="W98">
        <v>1</v>
      </c>
      <c r="X98">
        <v>0</v>
      </c>
    </row>
    <row r="99" spans="1:24" x14ac:dyDescent="0.25">
      <c r="A99">
        <v>40672036</v>
      </c>
      <c r="B99" t="s">
        <v>1619</v>
      </c>
      <c r="C99" t="s">
        <v>384</v>
      </c>
      <c r="D99" t="s">
        <v>385</v>
      </c>
      <c r="E99" t="s">
        <v>119</v>
      </c>
      <c r="F99" t="s">
        <v>120</v>
      </c>
      <c r="G99" t="s">
        <v>120</v>
      </c>
      <c r="H99">
        <v>4</v>
      </c>
      <c r="I99">
        <v>4.07</v>
      </c>
      <c r="J99" t="s">
        <v>388</v>
      </c>
      <c r="K99" t="s">
        <v>122</v>
      </c>
      <c r="L99">
        <v>302</v>
      </c>
      <c r="M99">
        <v>2019</v>
      </c>
      <c r="N99">
        <v>2019</v>
      </c>
      <c r="O99" s="2">
        <v>43929</v>
      </c>
      <c r="P99" s="2">
        <v>43903</v>
      </c>
      <c r="Q99" t="s">
        <v>119</v>
      </c>
      <c r="R99" t="s">
        <v>119</v>
      </c>
      <c r="S99" t="s">
        <v>125</v>
      </c>
      <c r="T99" t="s">
        <v>119</v>
      </c>
      <c r="U99" t="s">
        <v>119</v>
      </c>
      <c r="V99" t="s">
        <v>119</v>
      </c>
      <c r="W99">
        <v>1</v>
      </c>
      <c r="X99">
        <v>0</v>
      </c>
    </row>
    <row r="100" spans="1:24" x14ac:dyDescent="0.25">
      <c r="A100">
        <v>22609983</v>
      </c>
      <c r="B100" t="s">
        <v>2889</v>
      </c>
      <c r="C100" t="s">
        <v>2890</v>
      </c>
      <c r="D100" t="s">
        <v>2891</v>
      </c>
      <c r="E100" t="s">
        <v>119</v>
      </c>
      <c r="F100" t="s">
        <v>120</v>
      </c>
      <c r="G100" t="s">
        <v>120</v>
      </c>
      <c r="H100">
        <v>5</v>
      </c>
      <c r="I100">
        <v>3.88</v>
      </c>
      <c r="J100" t="s">
        <v>2892</v>
      </c>
      <c r="K100" t="s">
        <v>273</v>
      </c>
      <c r="L100">
        <v>80</v>
      </c>
      <c r="O100" s="2">
        <v>42248</v>
      </c>
      <c r="P100" s="2">
        <v>42379</v>
      </c>
      <c r="Q100" t="s">
        <v>148</v>
      </c>
      <c r="R100" t="s">
        <v>2893</v>
      </c>
      <c r="S100" t="s">
        <v>125</v>
      </c>
      <c r="T100" t="s">
        <v>119</v>
      </c>
      <c r="U100" t="s">
        <v>119</v>
      </c>
      <c r="V100" t="s">
        <v>119</v>
      </c>
      <c r="W100">
        <v>1</v>
      </c>
      <c r="X100">
        <v>0</v>
      </c>
    </row>
    <row r="101" spans="1:24" x14ac:dyDescent="0.25">
      <c r="A101">
        <v>52668196</v>
      </c>
      <c r="B101" t="s">
        <v>813</v>
      </c>
      <c r="C101" t="s">
        <v>814</v>
      </c>
      <c r="D101" t="s">
        <v>815</v>
      </c>
      <c r="E101" t="s">
        <v>119</v>
      </c>
      <c r="F101" t="s">
        <v>816</v>
      </c>
      <c r="G101" t="s">
        <v>817</v>
      </c>
      <c r="H101">
        <v>0</v>
      </c>
      <c r="I101">
        <v>3.9</v>
      </c>
      <c r="J101" t="s">
        <v>163</v>
      </c>
      <c r="K101" t="s">
        <v>147</v>
      </c>
      <c r="L101">
        <v>288</v>
      </c>
      <c r="M101">
        <v>2020</v>
      </c>
      <c r="N101">
        <v>2020</v>
      </c>
      <c r="O101" s="2"/>
      <c r="P101" s="2">
        <v>44493</v>
      </c>
      <c r="Q101" t="s">
        <v>132</v>
      </c>
      <c r="R101" t="s">
        <v>818</v>
      </c>
      <c r="S101" t="s">
        <v>132</v>
      </c>
      <c r="T101" t="s">
        <v>119</v>
      </c>
      <c r="U101" t="s">
        <v>119</v>
      </c>
      <c r="V101" t="s">
        <v>119</v>
      </c>
      <c r="W101">
        <v>0</v>
      </c>
      <c r="X101">
        <v>0</v>
      </c>
    </row>
    <row r="102" spans="1:24" x14ac:dyDescent="0.25">
      <c r="A102">
        <v>34804817</v>
      </c>
      <c r="B102" t="s">
        <v>2547</v>
      </c>
      <c r="C102" t="s">
        <v>2548</v>
      </c>
      <c r="D102" t="s">
        <v>2549</v>
      </c>
      <c r="E102" t="s">
        <v>302</v>
      </c>
      <c r="F102" t="s">
        <v>120</v>
      </c>
      <c r="G102" t="s">
        <v>120</v>
      </c>
      <c r="H102">
        <v>0</v>
      </c>
      <c r="I102">
        <v>3.98</v>
      </c>
      <c r="J102" t="s">
        <v>119</v>
      </c>
      <c r="K102" t="s">
        <v>273</v>
      </c>
      <c r="L102">
        <v>158</v>
      </c>
      <c r="M102">
        <v>2017</v>
      </c>
      <c r="O102" s="2"/>
      <c r="P102" s="2">
        <v>42904</v>
      </c>
      <c r="Q102" t="s">
        <v>132</v>
      </c>
      <c r="R102" t="s">
        <v>2550</v>
      </c>
      <c r="S102" t="s">
        <v>132</v>
      </c>
      <c r="T102" t="s">
        <v>119</v>
      </c>
      <c r="U102" t="s">
        <v>119</v>
      </c>
      <c r="V102" t="s">
        <v>119</v>
      </c>
      <c r="W102">
        <v>0</v>
      </c>
      <c r="X102">
        <v>0</v>
      </c>
    </row>
    <row r="103" spans="1:24" x14ac:dyDescent="0.25">
      <c r="A103">
        <v>18194765</v>
      </c>
      <c r="B103" t="s">
        <v>1827</v>
      </c>
      <c r="C103" t="s">
        <v>1828</v>
      </c>
      <c r="D103" t="s">
        <v>1829</v>
      </c>
      <c r="E103" t="s">
        <v>119</v>
      </c>
      <c r="F103" t="s">
        <v>120</v>
      </c>
      <c r="G103" t="s">
        <v>120</v>
      </c>
      <c r="H103">
        <v>0</v>
      </c>
      <c r="I103">
        <v>4.0999999999999996</v>
      </c>
      <c r="J103" t="s">
        <v>1830</v>
      </c>
      <c r="K103" t="s">
        <v>147</v>
      </c>
      <c r="L103">
        <v>208</v>
      </c>
      <c r="M103">
        <v>2013</v>
      </c>
      <c r="N103">
        <v>2013</v>
      </c>
      <c r="O103" s="2"/>
      <c r="P103" s="2">
        <v>43718</v>
      </c>
      <c r="Q103" t="s">
        <v>132</v>
      </c>
      <c r="R103" t="s">
        <v>1831</v>
      </c>
      <c r="S103" t="s">
        <v>132</v>
      </c>
      <c r="T103" t="s">
        <v>119</v>
      </c>
      <c r="U103" t="s">
        <v>119</v>
      </c>
      <c r="V103" t="s">
        <v>119</v>
      </c>
      <c r="W103">
        <v>0</v>
      </c>
      <c r="X103">
        <v>0</v>
      </c>
    </row>
    <row r="104" spans="1:24" x14ac:dyDescent="0.25">
      <c r="A104">
        <v>28446162</v>
      </c>
      <c r="B104" t="s">
        <v>1620</v>
      </c>
      <c r="C104" t="s">
        <v>1621</v>
      </c>
      <c r="D104" t="s">
        <v>1622</v>
      </c>
      <c r="E104" t="s">
        <v>119</v>
      </c>
      <c r="F104" t="s">
        <v>1623</v>
      </c>
      <c r="G104" t="s">
        <v>1624</v>
      </c>
      <c r="H104">
        <v>0</v>
      </c>
      <c r="I104">
        <v>4.08</v>
      </c>
      <c r="J104" t="s">
        <v>1176</v>
      </c>
      <c r="K104" t="s">
        <v>273</v>
      </c>
      <c r="L104">
        <v>368</v>
      </c>
      <c r="M104">
        <v>2017</v>
      </c>
      <c r="N104">
        <v>2017</v>
      </c>
      <c r="O104" s="2"/>
      <c r="P104" s="2">
        <v>43903</v>
      </c>
      <c r="Q104" t="s">
        <v>265</v>
      </c>
      <c r="R104" t="s">
        <v>1625</v>
      </c>
      <c r="S104" t="s">
        <v>265</v>
      </c>
      <c r="T104" t="s">
        <v>119</v>
      </c>
      <c r="U104" t="s">
        <v>119</v>
      </c>
      <c r="V104" t="s">
        <v>119</v>
      </c>
      <c r="W104">
        <v>1</v>
      </c>
      <c r="X104">
        <v>0</v>
      </c>
    </row>
    <row r="105" spans="1:24" x14ac:dyDescent="0.25">
      <c r="A105">
        <v>6452796</v>
      </c>
      <c r="B105" t="s">
        <v>850</v>
      </c>
      <c r="C105" t="s">
        <v>671</v>
      </c>
      <c r="D105" t="s">
        <v>672</v>
      </c>
      <c r="E105" t="s">
        <v>119</v>
      </c>
      <c r="F105" t="s">
        <v>851</v>
      </c>
      <c r="G105" t="s">
        <v>852</v>
      </c>
      <c r="H105">
        <v>5</v>
      </c>
      <c r="I105">
        <v>3.95</v>
      </c>
      <c r="J105" t="s">
        <v>184</v>
      </c>
      <c r="K105" t="s">
        <v>147</v>
      </c>
      <c r="L105">
        <v>242</v>
      </c>
      <c r="M105">
        <v>2009</v>
      </c>
      <c r="N105">
        <v>2009</v>
      </c>
      <c r="O105" s="2">
        <v>44461</v>
      </c>
      <c r="P105" s="2">
        <v>42165</v>
      </c>
      <c r="Q105" t="s">
        <v>119</v>
      </c>
      <c r="R105" t="s">
        <v>119</v>
      </c>
      <c r="S105" t="s">
        <v>125</v>
      </c>
      <c r="T105" t="s">
        <v>119</v>
      </c>
      <c r="U105" t="s">
        <v>119</v>
      </c>
      <c r="V105" t="s">
        <v>119</v>
      </c>
      <c r="W105">
        <v>1</v>
      </c>
      <c r="X105">
        <v>0</v>
      </c>
    </row>
    <row r="106" spans="1:24" x14ac:dyDescent="0.25">
      <c r="A106">
        <v>34207317</v>
      </c>
      <c r="B106" t="s">
        <v>246</v>
      </c>
      <c r="C106" t="s">
        <v>247</v>
      </c>
      <c r="D106" t="s">
        <v>248</v>
      </c>
      <c r="E106" t="s">
        <v>119</v>
      </c>
      <c r="F106" t="s">
        <v>120</v>
      </c>
      <c r="G106" t="s">
        <v>120</v>
      </c>
      <c r="H106">
        <v>3</v>
      </c>
      <c r="I106">
        <v>3.87</v>
      </c>
      <c r="J106" t="s">
        <v>249</v>
      </c>
      <c r="K106" t="s">
        <v>122</v>
      </c>
      <c r="L106">
        <v>145</v>
      </c>
      <c r="M106">
        <v>2017</v>
      </c>
      <c r="N106">
        <v>2001</v>
      </c>
      <c r="O106" s="2">
        <v>44928</v>
      </c>
      <c r="P106" s="2">
        <v>44763</v>
      </c>
      <c r="Q106" t="s">
        <v>250</v>
      </c>
      <c r="R106" t="s">
        <v>251</v>
      </c>
      <c r="S106" t="s">
        <v>125</v>
      </c>
      <c r="T106" t="s">
        <v>252</v>
      </c>
      <c r="U106" t="s">
        <v>119</v>
      </c>
      <c r="V106" t="s">
        <v>119</v>
      </c>
      <c r="W106">
        <v>1</v>
      </c>
      <c r="X106">
        <v>1</v>
      </c>
    </row>
    <row r="107" spans="1:24" x14ac:dyDescent="0.25">
      <c r="A107">
        <v>34523170</v>
      </c>
      <c r="B107" t="s">
        <v>2544</v>
      </c>
      <c r="C107" t="s">
        <v>2545</v>
      </c>
      <c r="D107" t="s">
        <v>2546</v>
      </c>
      <c r="E107" t="s">
        <v>119</v>
      </c>
      <c r="F107" t="s">
        <v>120</v>
      </c>
      <c r="G107" t="s">
        <v>120</v>
      </c>
      <c r="H107">
        <v>0</v>
      </c>
      <c r="I107">
        <v>3.73</v>
      </c>
      <c r="J107" t="s">
        <v>119</v>
      </c>
      <c r="K107" t="s">
        <v>122</v>
      </c>
      <c r="L107">
        <v>77</v>
      </c>
      <c r="M107">
        <v>2017</v>
      </c>
      <c r="O107" s="2">
        <v>42910</v>
      </c>
      <c r="P107" s="2">
        <v>42907</v>
      </c>
      <c r="Q107" t="s">
        <v>119</v>
      </c>
      <c r="R107" t="s">
        <v>119</v>
      </c>
      <c r="S107" t="s">
        <v>125</v>
      </c>
      <c r="T107" t="s">
        <v>119</v>
      </c>
      <c r="U107" t="s">
        <v>119</v>
      </c>
      <c r="V107" t="s">
        <v>119</v>
      </c>
      <c r="W107">
        <v>1</v>
      </c>
      <c r="X107">
        <v>0</v>
      </c>
    </row>
    <row r="108" spans="1:24" x14ac:dyDescent="0.25">
      <c r="A108">
        <v>54895700</v>
      </c>
      <c r="B108" t="s">
        <v>776</v>
      </c>
      <c r="C108" t="s">
        <v>777</v>
      </c>
      <c r="D108" t="s">
        <v>778</v>
      </c>
      <c r="E108" t="s">
        <v>779</v>
      </c>
      <c r="F108" t="s">
        <v>780</v>
      </c>
      <c r="G108" t="s">
        <v>781</v>
      </c>
      <c r="H108">
        <v>0</v>
      </c>
      <c r="I108">
        <v>4.03</v>
      </c>
      <c r="J108" t="s">
        <v>782</v>
      </c>
      <c r="K108" t="s">
        <v>147</v>
      </c>
      <c r="L108">
        <v>272</v>
      </c>
      <c r="M108">
        <v>2021</v>
      </c>
      <c r="N108">
        <v>2021</v>
      </c>
      <c r="O108" s="2"/>
      <c r="P108" s="2">
        <v>44539</v>
      </c>
      <c r="Q108" t="s">
        <v>132</v>
      </c>
      <c r="R108" t="s">
        <v>783</v>
      </c>
      <c r="S108" t="s">
        <v>132</v>
      </c>
      <c r="T108" t="s">
        <v>119</v>
      </c>
      <c r="U108" t="s">
        <v>119</v>
      </c>
      <c r="V108" t="s">
        <v>119</v>
      </c>
      <c r="W108">
        <v>0</v>
      </c>
      <c r="X108">
        <v>0</v>
      </c>
    </row>
    <row r="109" spans="1:24" x14ac:dyDescent="0.25">
      <c r="A109">
        <v>27036528</v>
      </c>
      <c r="B109" t="s">
        <v>2625</v>
      </c>
      <c r="C109" t="s">
        <v>819</v>
      </c>
      <c r="D109" t="s">
        <v>820</v>
      </c>
      <c r="E109" t="s">
        <v>119</v>
      </c>
      <c r="F109" t="s">
        <v>2626</v>
      </c>
      <c r="G109" t="s">
        <v>2627</v>
      </c>
      <c r="H109">
        <v>2</v>
      </c>
      <c r="I109">
        <v>4.1399999999999997</v>
      </c>
      <c r="J109" t="s">
        <v>388</v>
      </c>
      <c r="K109" t="s">
        <v>147</v>
      </c>
      <c r="L109">
        <v>226</v>
      </c>
      <c r="M109">
        <v>2016</v>
      </c>
      <c r="N109">
        <v>2016</v>
      </c>
      <c r="O109" s="2">
        <v>42784</v>
      </c>
      <c r="P109" s="2">
        <v>42771</v>
      </c>
      <c r="Q109" t="s">
        <v>2322</v>
      </c>
      <c r="R109" t="s">
        <v>2628</v>
      </c>
      <c r="S109" t="s">
        <v>125</v>
      </c>
      <c r="T109" t="s">
        <v>119</v>
      </c>
      <c r="U109" t="s">
        <v>119</v>
      </c>
      <c r="V109" t="s">
        <v>119</v>
      </c>
      <c r="W109">
        <v>1</v>
      </c>
      <c r="X109">
        <v>0</v>
      </c>
    </row>
    <row r="110" spans="1:24" x14ac:dyDescent="0.25">
      <c r="A110">
        <v>10884</v>
      </c>
      <c r="B110" t="s">
        <v>1356</v>
      </c>
      <c r="C110" t="s">
        <v>491</v>
      </c>
      <c r="D110" t="s">
        <v>492</v>
      </c>
      <c r="E110" t="s">
        <v>119</v>
      </c>
      <c r="F110" t="s">
        <v>1357</v>
      </c>
      <c r="G110" t="s">
        <v>1358</v>
      </c>
      <c r="H110">
        <v>0</v>
      </c>
      <c r="I110">
        <v>4.16</v>
      </c>
      <c r="J110" t="s">
        <v>495</v>
      </c>
      <c r="K110" t="s">
        <v>147</v>
      </c>
      <c r="L110">
        <v>675</v>
      </c>
      <c r="M110">
        <v>2007</v>
      </c>
      <c r="N110">
        <v>2007</v>
      </c>
      <c r="O110" s="2"/>
      <c r="P110" s="2">
        <v>44069</v>
      </c>
      <c r="Q110" t="s">
        <v>132</v>
      </c>
      <c r="R110" t="s">
        <v>1359</v>
      </c>
      <c r="S110" t="s">
        <v>132</v>
      </c>
      <c r="T110" t="s">
        <v>119</v>
      </c>
      <c r="U110" t="s">
        <v>119</v>
      </c>
      <c r="V110" t="s">
        <v>119</v>
      </c>
      <c r="W110">
        <v>0</v>
      </c>
      <c r="X110">
        <v>0</v>
      </c>
    </row>
    <row r="111" spans="1:24" x14ac:dyDescent="0.25">
      <c r="A111">
        <v>7022944</v>
      </c>
      <c r="B111" t="s">
        <v>1122</v>
      </c>
      <c r="C111" t="s">
        <v>491</v>
      </c>
      <c r="D111" t="s">
        <v>492</v>
      </c>
      <c r="E111" t="s">
        <v>119</v>
      </c>
      <c r="F111" t="s">
        <v>1123</v>
      </c>
      <c r="G111" t="s">
        <v>1124</v>
      </c>
      <c r="H111">
        <v>0</v>
      </c>
      <c r="I111">
        <v>4.28</v>
      </c>
      <c r="J111" t="s">
        <v>1125</v>
      </c>
      <c r="K111" t="s">
        <v>147</v>
      </c>
      <c r="L111">
        <v>94</v>
      </c>
      <c r="M111">
        <v>2009</v>
      </c>
      <c r="N111">
        <v>2009</v>
      </c>
      <c r="O111" s="2"/>
      <c r="P111" s="2">
        <v>44201</v>
      </c>
      <c r="Q111" t="s">
        <v>132</v>
      </c>
      <c r="R111" t="s">
        <v>1126</v>
      </c>
      <c r="S111" t="s">
        <v>132</v>
      </c>
      <c r="T111" t="s">
        <v>119</v>
      </c>
      <c r="U111" t="s">
        <v>119</v>
      </c>
      <c r="V111" t="s">
        <v>119</v>
      </c>
      <c r="W111">
        <v>0</v>
      </c>
      <c r="X111">
        <v>0</v>
      </c>
    </row>
    <row r="112" spans="1:24" x14ac:dyDescent="0.25">
      <c r="A112">
        <v>48905847</v>
      </c>
      <c r="B112" t="s">
        <v>1732</v>
      </c>
      <c r="C112" t="s">
        <v>1733</v>
      </c>
      <c r="D112" t="s">
        <v>1734</v>
      </c>
      <c r="E112" t="s">
        <v>119</v>
      </c>
      <c r="F112" t="s">
        <v>120</v>
      </c>
      <c r="G112" t="s">
        <v>120</v>
      </c>
      <c r="H112">
        <v>0</v>
      </c>
      <c r="I112">
        <v>3.99</v>
      </c>
      <c r="J112" t="s">
        <v>1735</v>
      </c>
      <c r="K112" t="s">
        <v>122</v>
      </c>
      <c r="L112">
        <v>244</v>
      </c>
      <c r="M112">
        <v>2019</v>
      </c>
      <c r="N112">
        <v>2019</v>
      </c>
      <c r="O112" s="2"/>
      <c r="P112" s="2">
        <v>43811</v>
      </c>
      <c r="Q112" t="s">
        <v>132</v>
      </c>
      <c r="R112" t="s">
        <v>1736</v>
      </c>
      <c r="S112" t="s">
        <v>132</v>
      </c>
      <c r="T112" t="s">
        <v>119</v>
      </c>
      <c r="U112" t="s">
        <v>119</v>
      </c>
      <c r="V112" t="s">
        <v>119</v>
      </c>
      <c r="W112">
        <v>0</v>
      </c>
      <c r="X112">
        <v>0</v>
      </c>
    </row>
    <row r="113" spans="1:24" x14ac:dyDescent="0.25">
      <c r="A113">
        <v>51009187</v>
      </c>
      <c r="B113" t="s">
        <v>1323</v>
      </c>
      <c r="C113" t="s">
        <v>68</v>
      </c>
      <c r="D113" t="s">
        <v>1165</v>
      </c>
      <c r="E113" t="s">
        <v>119</v>
      </c>
      <c r="F113" t="s">
        <v>120</v>
      </c>
      <c r="G113" t="s">
        <v>120</v>
      </c>
      <c r="H113">
        <v>0</v>
      </c>
      <c r="I113">
        <v>4.0999999999999996</v>
      </c>
      <c r="J113" t="s">
        <v>1166</v>
      </c>
      <c r="K113" t="s">
        <v>122</v>
      </c>
      <c r="L113">
        <v>170</v>
      </c>
      <c r="M113">
        <v>2019</v>
      </c>
      <c r="N113">
        <v>2019</v>
      </c>
      <c r="O113" s="2"/>
      <c r="P113" s="2">
        <v>44081</v>
      </c>
      <c r="Q113" t="s">
        <v>132</v>
      </c>
      <c r="R113" t="s">
        <v>1324</v>
      </c>
      <c r="S113" t="s">
        <v>132</v>
      </c>
      <c r="T113" t="s">
        <v>119</v>
      </c>
      <c r="U113" t="s">
        <v>119</v>
      </c>
      <c r="V113" t="s">
        <v>119</v>
      </c>
      <c r="W113">
        <v>0</v>
      </c>
      <c r="X113">
        <v>0</v>
      </c>
    </row>
    <row r="114" spans="1:24" x14ac:dyDescent="0.25">
      <c r="A114">
        <v>25541028</v>
      </c>
      <c r="B114" t="s">
        <v>2346</v>
      </c>
      <c r="C114" t="s">
        <v>2347</v>
      </c>
      <c r="D114" t="s">
        <v>2348</v>
      </c>
      <c r="E114" t="s">
        <v>119</v>
      </c>
      <c r="F114" t="s">
        <v>2349</v>
      </c>
      <c r="G114" t="s">
        <v>2350</v>
      </c>
      <c r="H114">
        <v>4</v>
      </c>
      <c r="I114">
        <v>4.2</v>
      </c>
      <c r="J114" t="s">
        <v>1653</v>
      </c>
      <c r="K114" t="s">
        <v>147</v>
      </c>
      <c r="L114">
        <v>392</v>
      </c>
      <c r="M114">
        <v>2015</v>
      </c>
      <c r="N114">
        <v>2015</v>
      </c>
      <c r="O114" s="2">
        <v>43010</v>
      </c>
      <c r="P114" s="2">
        <v>42996</v>
      </c>
      <c r="Q114" t="s">
        <v>2351</v>
      </c>
      <c r="R114" t="s">
        <v>2352</v>
      </c>
      <c r="S114" t="s">
        <v>125</v>
      </c>
      <c r="T114" t="s">
        <v>119</v>
      </c>
      <c r="U114" t="s">
        <v>119</v>
      </c>
      <c r="V114" t="s">
        <v>119</v>
      </c>
      <c r="W114">
        <v>1</v>
      </c>
      <c r="X114">
        <v>0</v>
      </c>
    </row>
    <row r="115" spans="1:24" x14ac:dyDescent="0.25">
      <c r="A115">
        <v>31699552</v>
      </c>
      <c r="B115" t="s">
        <v>2648</v>
      </c>
      <c r="C115" t="s">
        <v>2649</v>
      </c>
      <c r="D115" t="s">
        <v>2650</v>
      </c>
      <c r="E115" t="s">
        <v>119</v>
      </c>
      <c r="F115" t="s">
        <v>120</v>
      </c>
      <c r="G115" t="s">
        <v>120</v>
      </c>
      <c r="H115">
        <v>1</v>
      </c>
      <c r="I115">
        <v>2.2000000000000002</v>
      </c>
      <c r="J115" t="s">
        <v>2649</v>
      </c>
      <c r="K115" t="s">
        <v>122</v>
      </c>
      <c r="L115">
        <v>61</v>
      </c>
      <c r="M115">
        <v>2016</v>
      </c>
      <c r="O115" s="2">
        <v>42652</v>
      </c>
      <c r="P115" s="2">
        <v>42646</v>
      </c>
      <c r="Q115" t="s">
        <v>119</v>
      </c>
      <c r="R115" t="s">
        <v>119</v>
      </c>
      <c r="S115" t="s">
        <v>125</v>
      </c>
      <c r="T115" t="s">
        <v>119</v>
      </c>
      <c r="U115" t="s">
        <v>119</v>
      </c>
      <c r="V115" t="s">
        <v>119</v>
      </c>
      <c r="W115">
        <v>1</v>
      </c>
      <c r="X115">
        <v>0</v>
      </c>
    </row>
    <row r="116" spans="1:24" x14ac:dyDescent="0.25">
      <c r="A116">
        <v>41014339</v>
      </c>
      <c r="B116" t="s">
        <v>520</v>
      </c>
      <c r="C116" t="s">
        <v>521</v>
      </c>
      <c r="D116" t="s">
        <v>522</v>
      </c>
      <c r="E116" t="s">
        <v>119</v>
      </c>
      <c r="F116" t="s">
        <v>120</v>
      </c>
      <c r="G116" t="s">
        <v>120</v>
      </c>
      <c r="H116">
        <v>4</v>
      </c>
      <c r="I116">
        <v>4.1399999999999997</v>
      </c>
      <c r="J116" t="s">
        <v>523</v>
      </c>
      <c r="K116" t="s">
        <v>122</v>
      </c>
      <c r="L116">
        <v>333</v>
      </c>
      <c r="M116">
        <v>2018</v>
      </c>
      <c r="N116">
        <v>2018</v>
      </c>
      <c r="O116" s="2">
        <v>44664</v>
      </c>
      <c r="P116" s="2">
        <v>44083</v>
      </c>
      <c r="Q116" t="s">
        <v>119</v>
      </c>
      <c r="R116" t="s">
        <v>119</v>
      </c>
      <c r="S116" t="s">
        <v>125</v>
      </c>
      <c r="T116" t="s">
        <v>119</v>
      </c>
      <c r="U116" t="s">
        <v>119</v>
      </c>
      <c r="V116" t="s">
        <v>119</v>
      </c>
      <c r="W116">
        <v>1</v>
      </c>
      <c r="X116">
        <v>0</v>
      </c>
    </row>
    <row r="117" spans="1:24" x14ac:dyDescent="0.25">
      <c r="A117">
        <v>45916230</v>
      </c>
      <c r="B117" t="s">
        <v>1925</v>
      </c>
      <c r="C117" t="s">
        <v>1926</v>
      </c>
      <c r="D117" t="s">
        <v>1927</v>
      </c>
      <c r="E117" t="s">
        <v>119</v>
      </c>
      <c r="F117" t="s">
        <v>1928</v>
      </c>
      <c r="G117" t="s">
        <v>1929</v>
      </c>
      <c r="H117">
        <v>3</v>
      </c>
      <c r="I117">
        <v>4.13</v>
      </c>
      <c r="J117" t="s">
        <v>1930</v>
      </c>
      <c r="K117" t="s">
        <v>1931</v>
      </c>
      <c r="L117">
        <v>182</v>
      </c>
      <c r="M117">
        <v>2019</v>
      </c>
      <c r="O117" s="2">
        <v>43681</v>
      </c>
      <c r="P117" s="2">
        <v>43675</v>
      </c>
      <c r="Q117" t="s">
        <v>119</v>
      </c>
      <c r="R117" t="s">
        <v>119</v>
      </c>
      <c r="S117" t="s">
        <v>125</v>
      </c>
      <c r="T117" t="s">
        <v>119</v>
      </c>
      <c r="U117" t="s">
        <v>119</v>
      </c>
      <c r="V117" t="s">
        <v>119</v>
      </c>
      <c r="W117">
        <v>1</v>
      </c>
      <c r="X117">
        <v>0</v>
      </c>
    </row>
    <row r="118" spans="1:24" x14ac:dyDescent="0.25">
      <c r="A118">
        <v>35696171</v>
      </c>
      <c r="B118" t="s">
        <v>1758</v>
      </c>
      <c r="C118" t="s">
        <v>1451</v>
      </c>
      <c r="D118" t="s">
        <v>1452</v>
      </c>
      <c r="E118" t="s">
        <v>119</v>
      </c>
      <c r="F118" t="s">
        <v>1759</v>
      </c>
      <c r="G118" t="s">
        <v>1760</v>
      </c>
      <c r="H118">
        <v>0</v>
      </c>
      <c r="I118">
        <v>4.21</v>
      </c>
      <c r="J118" t="s">
        <v>1247</v>
      </c>
      <c r="K118" t="s">
        <v>147</v>
      </c>
      <c r="L118">
        <v>576</v>
      </c>
      <c r="M118">
        <v>2018</v>
      </c>
      <c r="N118">
        <v>2018</v>
      </c>
      <c r="O118" s="2"/>
      <c r="P118" s="2">
        <v>43796</v>
      </c>
      <c r="Q118" t="s">
        <v>132</v>
      </c>
      <c r="R118" t="s">
        <v>1761</v>
      </c>
      <c r="S118" t="s">
        <v>132</v>
      </c>
      <c r="T118" t="s">
        <v>119</v>
      </c>
      <c r="U118" t="s">
        <v>119</v>
      </c>
      <c r="V118" t="s">
        <v>119</v>
      </c>
      <c r="W118">
        <v>0</v>
      </c>
      <c r="X118">
        <v>0</v>
      </c>
    </row>
    <row r="119" spans="1:24" x14ac:dyDescent="0.25">
      <c r="A119">
        <v>25491</v>
      </c>
      <c r="B119" t="s">
        <v>1299</v>
      </c>
      <c r="C119" t="s">
        <v>885</v>
      </c>
      <c r="D119" t="s">
        <v>886</v>
      </c>
      <c r="E119" t="s">
        <v>119</v>
      </c>
      <c r="F119" t="s">
        <v>1300</v>
      </c>
      <c r="G119" t="s">
        <v>1301</v>
      </c>
      <c r="H119">
        <v>0</v>
      </c>
      <c r="I119">
        <v>4.26</v>
      </c>
      <c r="J119" t="s">
        <v>1302</v>
      </c>
      <c r="K119" t="s">
        <v>140</v>
      </c>
      <c r="L119">
        <v>301</v>
      </c>
      <c r="M119">
        <v>1994</v>
      </c>
      <c r="N119">
        <v>1941</v>
      </c>
      <c r="O119" s="2"/>
      <c r="P119" s="2">
        <v>44124</v>
      </c>
      <c r="Q119" t="s">
        <v>132</v>
      </c>
      <c r="R119" t="s">
        <v>1303</v>
      </c>
      <c r="S119" t="s">
        <v>132</v>
      </c>
      <c r="T119" t="s">
        <v>119</v>
      </c>
      <c r="U119" t="s">
        <v>119</v>
      </c>
      <c r="V119" t="s">
        <v>119</v>
      </c>
      <c r="W119">
        <v>0</v>
      </c>
      <c r="X119">
        <v>0</v>
      </c>
    </row>
    <row r="120" spans="1:24" x14ac:dyDescent="0.25">
      <c r="A120">
        <v>18077875</v>
      </c>
      <c r="B120" t="s">
        <v>1832</v>
      </c>
      <c r="C120" t="s">
        <v>777</v>
      </c>
      <c r="D120" t="s">
        <v>778</v>
      </c>
      <c r="E120" t="s">
        <v>119</v>
      </c>
      <c r="F120" t="s">
        <v>1833</v>
      </c>
      <c r="G120" t="s">
        <v>1834</v>
      </c>
      <c r="H120">
        <v>4</v>
      </c>
      <c r="I120">
        <v>4.05</v>
      </c>
      <c r="J120" t="s">
        <v>1330</v>
      </c>
      <c r="K120" t="s">
        <v>147</v>
      </c>
      <c r="L120">
        <v>260</v>
      </c>
      <c r="M120">
        <v>2014</v>
      </c>
      <c r="N120">
        <v>2011</v>
      </c>
      <c r="O120" s="2">
        <v>43702</v>
      </c>
      <c r="P120" s="2">
        <v>43681</v>
      </c>
      <c r="Q120" t="s">
        <v>1835</v>
      </c>
      <c r="R120" t="s">
        <v>1836</v>
      </c>
      <c r="S120" t="s">
        <v>125</v>
      </c>
      <c r="T120" t="s">
        <v>119</v>
      </c>
      <c r="U120" t="s">
        <v>119</v>
      </c>
      <c r="V120" t="s">
        <v>119</v>
      </c>
      <c r="W120">
        <v>1</v>
      </c>
      <c r="X120">
        <v>0</v>
      </c>
    </row>
    <row r="121" spans="1:24" x14ac:dyDescent="0.25">
      <c r="A121">
        <v>28512671</v>
      </c>
      <c r="B121" t="s">
        <v>1811</v>
      </c>
      <c r="C121" t="s">
        <v>1812</v>
      </c>
      <c r="D121" t="s">
        <v>1813</v>
      </c>
      <c r="E121" t="s">
        <v>1451</v>
      </c>
      <c r="F121" t="s">
        <v>1814</v>
      </c>
      <c r="G121" t="s">
        <v>1815</v>
      </c>
      <c r="H121">
        <v>4</v>
      </c>
      <c r="I121">
        <v>3.91</v>
      </c>
      <c r="J121" t="s">
        <v>1176</v>
      </c>
      <c r="K121" t="s">
        <v>147</v>
      </c>
      <c r="L121">
        <v>338</v>
      </c>
      <c r="M121">
        <v>2017</v>
      </c>
      <c r="N121">
        <v>2017</v>
      </c>
      <c r="O121" s="2">
        <v>43759</v>
      </c>
      <c r="P121" s="2">
        <v>43744</v>
      </c>
      <c r="Q121" t="s">
        <v>119</v>
      </c>
      <c r="R121" t="s">
        <v>119</v>
      </c>
      <c r="S121" t="s">
        <v>125</v>
      </c>
      <c r="T121" t="s">
        <v>119</v>
      </c>
      <c r="U121" t="s">
        <v>119</v>
      </c>
      <c r="V121" t="s">
        <v>119</v>
      </c>
      <c r="W121">
        <v>1</v>
      </c>
      <c r="X121">
        <v>0</v>
      </c>
    </row>
    <row r="122" spans="1:24" x14ac:dyDescent="0.25">
      <c r="A122">
        <v>43808723</v>
      </c>
      <c r="B122" t="s">
        <v>1098</v>
      </c>
      <c r="C122" t="s">
        <v>1099</v>
      </c>
      <c r="D122" t="s">
        <v>1100</v>
      </c>
      <c r="E122" t="s">
        <v>119</v>
      </c>
      <c r="F122" t="s">
        <v>1101</v>
      </c>
      <c r="G122" t="s">
        <v>1102</v>
      </c>
      <c r="H122">
        <v>0</v>
      </c>
      <c r="I122">
        <v>3.71</v>
      </c>
      <c r="J122" t="s">
        <v>317</v>
      </c>
      <c r="K122" t="s">
        <v>147</v>
      </c>
      <c r="L122">
        <v>288</v>
      </c>
      <c r="M122">
        <v>2019</v>
      </c>
      <c r="N122">
        <v>2019</v>
      </c>
      <c r="O122" s="2"/>
      <c r="P122" s="2">
        <v>44210</v>
      </c>
      <c r="Q122" t="s">
        <v>132</v>
      </c>
      <c r="R122" t="s">
        <v>1103</v>
      </c>
      <c r="S122" t="s">
        <v>132</v>
      </c>
      <c r="T122" t="s">
        <v>119</v>
      </c>
      <c r="U122" t="s">
        <v>119</v>
      </c>
      <c r="V122" t="s">
        <v>119</v>
      </c>
      <c r="W122">
        <v>0</v>
      </c>
      <c r="X122">
        <v>0</v>
      </c>
    </row>
    <row r="123" spans="1:24" x14ac:dyDescent="0.25">
      <c r="A123">
        <v>43706482</v>
      </c>
      <c r="B123" t="s">
        <v>906</v>
      </c>
      <c r="C123" t="s">
        <v>907</v>
      </c>
      <c r="D123" t="s">
        <v>908</v>
      </c>
      <c r="E123" t="s">
        <v>119</v>
      </c>
      <c r="F123" t="s">
        <v>909</v>
      </c>
      <c r="G123" t="s">
        <v>910</v>
      </c>
      <c r="H123">
        <v>4</v>
      </c>
      <c r="I123">
        <v>4</v>
      </c>
      <c r="J123" t="s">
        <v>388</v>
      </c>
      <c r="K123" t="s">
        <v>140</v>
      </c>
      <c r="L123">
        <v>304</v>
      </c>
      <c r="M123">
        <v>2019</v>
      </c>
      <c r="N123">
        <v>2019</v>
      </c>
      <c r="O123" s="2">
        <v>44432</v>
      </c>
      <c r="P123" s="2">
        <v>44304</v>
      </c>
      <c r="Q123" t="s">
        <v>119</v>
      </c>
      <c r="R123" t="s">
        <v>119</v>
      </c>
      <c r="S123" t="s">
        <v>125</v>
      </c>
      <c r="T123" t="s">
        <v>119</v>
      </c>
      <c r="U123" t="s">
        <v>119</v>
      </c>
      <c r="V123" t="s">
        <v>119</v>
      </c>
      <c r="W123">
        <v>1</v>
      </c>
      <c r="X123">
        <v>0</v>
      </c>
    </row>
    <row r="124" spans="1:24" x14ac:dyDescent="0.25">
      <c r="A124">
        <v>15819474</v>
      </c>
      <c r="B124" t="s">
        <v>1782</v>
      </c>
      <c r="C124" t="s">
        <v>1783</v>
      </c>
      <c r="D124" t="s">
        <v>1784</v>
      </c>
      <c r="E124" t="s">
        <v>119</v>
      </c>
      <c r="F124" t="s">
        <v>1785</v>
      </c>
      <c r="G124" t="s">
        <v>1786</v>
      </c>
      <c r="H124">
        <v>0</v>
      </c>
      <c r="I124">
        <v>3.58</v>
      </c>
      <c r="J124" t="s">
        <v>381</v>
      </c>
      <c r="K124" t="s">
        <v>273</v>
      </c>
      <c r="L124">
        <v>304</v>
      </c>
      <c r="M124">
        <v>2012</v>
      </c>
      <c r="N124">
        <v>2012</v>
      </c>
      <c r="O124" s="2"/>
      <c r="P124" s="2">
        <v>43788</v>
      </c>
      <c r="Q124" t="s">
        <v>132</v>
      </c>
      <c r="R124" t="s">
        <v>1787</v>
      </c>
      <c r="S124" t="s">
        <v>132</v>
      </c>
      <c r="T124" t="s">
        <v>119</v>
      </c>
      <c r="U124" t="s">
        <v>119</v>
      </c>
      <c r="V124" t="s">
        <v>119</v>
      </c>
      <c r="W124">
        <v>0</v>
      </c>
      <c r="X124">
        <v>0</v>
      </c>
    </row>
    <row r="125" spans="1:24" x14ac:dyDescent="0.25">
      <c r="A125">
        <v>34890015</v>
      </c>
      <c r="B125" t="s">
        <v>1820</v>
      </c>
      <c r="C125" t="s">
        <v>1821</v>
      </c>
      <c r="D125" t="s">
        <v>1822</v>
      </c>
      <c r="E125" t="s">
        <v>1823</v>
      </c>
      <c r="F125" t="s">
        <v>1824</v>
      </c>
      <c r="G125" t="s">
        <v>1825</v>
      </c>
      <c r="H125">
        <v>5</v>
      </c>
      <c r="I125">
        <v>4.37</v>
      </c>
      <c r="J125" t="s">
        <v>1826</v>
      </c>
      <c r="K125" t="s">
        <v>147</v>
      </c>
      <c r="L125">
        <v>342</v>
      </c>
      <c r="M125">
        <v>2018</v>
      </c>
      <c r="N125">
        <v>2018</v>
      </c>
      <c r="O125" s="2">
        <v>43725</v>
      </c>
      <c r="P125" s="2">
        <v>43708</v>
      </c>
      <c r="Q125" t="s">
        <v>119</v>
      </c>
      <c r="R125" t="s">
        <v>119</v>
      </c>
      <c r="S125" t="s">
        <v>125</v>
      </c>
      <c r="T125" t="s">
        <v>119</v>
      </c>
      <c r="U125" t="s">
        <v>119</v>
      </c>
      <c r="V125" t="s">
        <v>119</v>
      </c>
      <c r="W125">
        <v>1</v>
      </c>
      <c r="X125">
        <v>0</v>
      </c>
    </row>
    <row r="126" spans="1:24" x14ac:dyDescent="0.25">
      <c r="A126">
        <v>13079982</v>
      </c>
      <c r="B126" t="s">
        <v>633</v>
      </c>
      <c r="C126" t="s">
        <v>634</v>
      </c>
      <c r="D126" t="s">
        <v>635</v>
      </c>
      <c r="E126" t="s">
        <v>119</v>
      </c>
      <c r="F126" t="s">
        <v>120</v>
      </c>
      <c r="G126" t="s">
        <v>120</v>
      </c>
      <c r="H126">
        <v>0</v>
      </c>
      <c r="I126">
        <v>3.97</v>
      </c>
      <c r="J126" t="s">
        <v>495</v>
      </c>
      <c r="K126" t="s">
        <v>122</v>
      </c>
      <c r="L126">
        <v>194</v>
      </c>
      <c r="M126">
        <v>2011</v>
      </c>
      <c r="N126">
        <v>1953</v>
      </c>
      <c r="O126" s="2"/>
      <c r="P126" s="2">
        <v>44595</v>
      </c>
      <c r="Q126" t="s">
        <v>636</v>
      </c>
      <c r="R126" t="s">
        <v>637</v>
      </c>
      <c r="S126" t="s">
        <v>125</v>
      </c>
      <c r="T126" t="s">
        <v>119</v>
      </c>
      <c r="U126" t="s">
        <v>119</v>
      </c>
      <c r="V126" t="s">
        <v>119</v>
      </c>
      <c r="W126">
        <v>1</v>
      </c>
      <c r="X126">
        <v>0</v>
      </c>
    </row>
    <row r="127" spans="1:24" x14ac:dyDescent="0.25">
      <c r="A127">
        <v>50525994</v>
      </c>
      <c r="B127" t="s">
        <v>1104</v>
      </c>
      <c r="C127" t="s">
        <v>1105</v>
      </c>
      <c r="D127" t="s">
        <v>1106</v>
      </c>
      <c r="E127" t="s">
        <v>119</v>
      </c>
      <c r="F127" t="s">
        <v>120</v>
      </c>
      <c r="G127" t="s">
        <v>120</v>
      </c>
      <c r="H127">
        <v>0</v>
      </c>
      <c r="I127">
        <v>3.9</v>
      </c>
      <c r="J127" t="s">
        <v>1107</v>
      </c>
      <c r="K127" t="s">
        <v>122</v>
      </c>
      <c r="M127">
        <v>2020</v>
      </c>
      <c r="N127">
        <v>2020</v>
      </c>
      <c r="O127" s="2"/>
      <c r="P127" s="2">
        <v>44201</v>
      </c>
      <c r="Q127" t="s">
        <v>132</v>
      </c>
      <c r="R127" t="s">
        <v>1108</v>
      </c>
      <c r="S127" t="s">
        <v>132</v>
      </c>
      <c r="T127" t="s">
        <v>119</v>
      </c>
      <c r="U127" t="s">
        <v>119</v>
      </c>
      <c r="V127" t="s">
        <v>119</v>
      </c>
      <c r="W127">
        <v>0</v>
      </c>
      <c r="X127">
        <v>0</v>
      </c>
    </row>
    <row r="128" spans="1:24" x14ac:dyDescent="0.25">
      <c r="A128">
        <v>38412</v>
      </c>
      <c r="B128" t="s">
        <v>2858</v>
      </c>
      <c r="C128" t="s">
        <v>2859</v>
      </c>
      <c r="D128" t="s">
        <v>2860</v>
      </c>
      <c r="E128" t="s">
        <v>119</v>
      </c>
      <c r="F128" t="s">
        <v>2861</v>
      </c>
      <c r="G128" t="s">
        <v>2862</v>
      </c>
      <c r="H128">
        <v>4</v>
      </c>
      <c r="I128">
        <v>4.28</v>
      </c>
      <c r="J128" t="s">
        <v>838</v>
      </c>
      <c r="K128" t="s">
        <v>140</v>
      </c>
      <c r="L128">
        <v>315</v>
      </c>
      <c r="M128">
        <v>1998</v>
      </c>
      <c r="N128">
        <v>1997</v>
      </c>
      <c r="O128" s="2"/>
      <c r="P128" s="2">
        <v>42400</v>
      </c>
      <c r="Q128" t="s">
        <v>2418</v>
      </c>
      <c r="R128" t="s">
        <v>2863</v>
      </c>
      <c r="S128" t="s">
        <v>125</v>
      </c>
      <c r="T128" t="s">
        <v>119</v>
      </c>
      <c r="U128" t="s">
        <v>119</v>
      </c>
      <c r="V128" t="s">
        <v>119</v>
      </c>
      <c r="W128">
        <v>1</v>
      </c>
      <c r="X128">
        <v>0</v>
      </c>
    </row>
    <row r="129" spans="1:24" x14ac:dyDescent="0.25">
      <c r="A129">
        <v>45776</v>
      </c>
      <c r="B129" t="s">
        <v>2208</v>
      </c>
      <c r="C129" t="s">
        <v>2209</v>
      </c>
      <c r="D129" t="s">
        <v>2210</v>
      </c>
      <c r="E129" t="s">
        <v>119</v>
      </c>
      <c r="F129" t="s">
        <v>2211</v>
      </c>
      <c r="G129" t="s">
        <v>2212</v>
      </c>
      <c r="H129">
        <v>3</v>
      </c>
      <c r="I129">
        <v>4.04</v>
      </c>
      <c r="J129" t="s">
        <v>570</v>
      </c>
      <c r="K129" t="s">
        <v>140</v>
      </c>
      <c r="L129">
        <v>192</v>
      </c>
      <c r="M129">
        <v>2004</v>
      </c>
      <c r="N129">
        <v>2005</v>
      </c>
      <c r="O129" s="2"/>
      <c r="P129" s="2">
        <v>43394</v>
      </c>
      <c r="Q129" t="s">
        <v>119</v>
      </c>
      <c r="R129" t="s">
        <v>119</v>
      </c>
      <c r="S129" t="s">
        <v>125</v>
      </c>
      <c r="T129" t="s">
        <v>119</v>
      </c>
      <c r="U129" t="s">
        <v>119</v>
      </c>
      <c r="V129" t="s">
        <v>119</v>
      </c>
      <c r="W129">
        <v>1</v>
      </c>
      <c r="X129">
        <v>0</v>
      </c>
    </row>
    <row r="130" spans="1:24" x14ac:dyDescent="0.25">
      <c r="A130">
        <v>51485178</v>
      </c>
      <c r="B130" t="s">
        <v>1659</v>
      </c>
      <c r="C130" t="s">
        <v>1660</v>
      </c>
      <c r="D130" t="s">
        <v>1661</v>
      </c>
      <c r="E130" t="s">
        <v>119</v>
      </c>
      <c r="F130" t="s">
        <v>120</v>
      </c>
      <c r="G130" t="s">
        <v>120</v>
      </c>
      <c r="H130">
        <v>0</v>
      </c>
      <c r="I130">
        <v>3.75</v>
      </c>
      <c r="J130" t="s">
        <v>119</v>
      </c>
      <c r="K130" t="s">
        <v>122</v>
      </c>
      <c r="L130">
        <v>134</v>
      </c>
      <c r="M130">
        <v>2020</v>
      </c>
      <c r="O130" s="2"/>
      <c r="P130" s="2">
        <v>43897</v>
      </c>
      <c r="Q130" t="s">
        <v>119</v>
      </c>
      <c r="R130" t="s">
        <v>119</v>
      </c>
      <c r="S130" t="s">
        <v>125</v>
      </c>
      <c r="T130" t="s">
        <v>119</v>
      </c>
      <c r="U130" t="s">
        <v>119</v>
      </c>
      <c r="V130" t="s">
        <v>119</v>
      </c>
      <c r="W130">
        <v>1</v>
      </c>
      <c r="X130">
        <v>0</v>
      </c>
    </row>
    <row r="131" spans="1:24" x14ac:dyDescent="0.25">
      <c r="A131">
        <v>54614599</v>
      </c>
      <c r="B131" t="s">
        <v>914</v>
      </c>
      <c r="C131" t="s">
        <v>915</v>
      </c>
      <c r="D131" t="s">
        <v>916</v>
      </c>
      <c r="E131" t="s">
        <v>917</v>
      </c>
      <c r="F131" t="s">
        <v>918</v>
      </c>
      <c r="G131" t="s">
        <v>919</v>
      </c>
      <c r="H131">
        <v>3</v>
      </c>
      <c r="I131">
        <v>3.55</v>
      </c>
      <c r="J131" t="s">
        <v>920</v>
      </c>
      <c r="K131" t="s">
        <v>147</v>
      </c>
      <c r="L131">
        <v>245</v>
      </c>
      <c r="M131">
        <v>2021</v>
      </c>
      <c r="N131">
        <v>2020</v>
      </c>
      <c r="O131" s="2">
        <v>44430</v>
      </c>
      <c r="P131" s="2">
        <v>44426</v>
      </c>
      <c r="Q131" t="s">
        <v>119</v>
      </c>
      <c r="R131" t="s">
        <v>119</v>
      </c>
      <c r="S131" t="s">
        <v>125</v>
      </c>
      <c r="T131" t="s">
        <v>921</v>
      </c>
      <c r="U131" t="s">
        <v>119</v>
      </c>
      <c r="V131" t="s">
        <v>119</v>
      </c>
      <c r="W131">
        <v>1</v>
      </c>
      <c r="X131">
        <v>0</v>
      </c>
    </row>
    <row r="132" spans="1:24" x14ac:dyDescent="0.25">
      <c r="A132">
        <v>36071</v>
      </c>
      <c r="B132" t="s">
        <v>655</v>
      </c>
      <c r="C132" t="s">
        <v>656</v>
      </c>
      <c r="D132" t="s">
        <v>657</v>
      </c>
      <c r="E132" t="s">
        <v>658</v>
      </c>
      <c r="F132" t="s">
        <v>659</v>
      </c>
      <c r="G132" t="s">
        <v>660</v>
      </c>
      <c r="H132">
        <v>0</v>
      </c>
      <c r="I132">
        <v>4.0999999999999996</v>
      </c>
      <c r="J132" t="s">
        <v>661</v>
      </c>
      <c r="K132" t="s">
        <v>140</v>
      </c>
      <c r="L132">
        <v>384</v>
      </c>
      <c r="M132">
        <v>1996</v>
      </c>
      <c r="N132">
        <v>1993</v>
      </c>
      <c r="O132" s="2"/>
      <c r="P132" s="2">
        <v>44514</v>
      </c>
      <c r="Q132" t="s">
        <v>265</v>
      </c>
      <c r="R132" t="s">
        <v>662</v>
      </c>
      <c r="S132" t="s">
        <v>265</v>
      </c>
      <c r="T132" t="s">
        <v>119</v>
      </c>
      <c r="U132" t="s">
        <v>119</v>
      </c>
      <c r="V132" t="s">
        <v>119</v>
      </c>
      <c r="W132">
        <v>1</v>
      </c>
      <c r="X132">
        <v>0</v>
      </c>
    </row>
    <row r="133" spans="1:24" x14ac:dyDescent="0.25">
      <c r="A133">
        <v>66354</v>
      </c>
      <c r="B133" t="s">
        <v>2864</v>
      </c>
      <c r="C133" t="s">
        <v>2865</v>
      </c>
      <c r="D133" t="s">
        <v>2866</v>
      </c>
      <c r="E133" t="s">
        <v>119</v>
      </c>
      <c r="F133" t="s">
        <v>2867</v>
      </c>
      <c r="G133" t="s">
        <v>2868</v>
      </c>
      <c r="H133">
        <v>3</v>
      </c>
      <c r="I133">
        <v>4.0999999999999996</v>
      </c>
      <c r="J133" t="s">
        <v>1408</v>
      </c>
      <c r="K133" t="s">
        <v>140</v>
      </c>
      <c r="L133">
        <v>303</v>
      </c>
      <c r="M133">
        <v>1990</v>
      </c>
      <c r="N133">
        <v>1990</v>
      </c>
      <c r="O133" s="2">
        <v>41640</v>
      </c>
      <c r="P133" s="2">
        <v>42382</v>
      </c>
      <c r="Q133" t="s">
        <v>119</v>
      </c>
      <c r="R133" t="s">
        <v>119</v>
      </c>
      <c r="S133" t="s">
        <v>125</v>
      </c>
      <c r="T133" t="s">
        <v>119</v>
      </c>
      <c r="U133" t="s">
        <v>119</v>
      </c>
      <c r="V133" t="s">
        <v>119</v>
      </c>
      <c r="W133">
        <v>1</v>
      </c>
      <c r="X133">
        <v>0</v>
      </c>
    </row>
    <row r="134" spans="1:24" x14ac:dyDescent="0.25">
      <c r="A134">
        <v>19661852</v>
      </c>
      <c r="B134" t="s">
        <v>2169</v>
      </c>
      <c r="C134" t="s">
        <v>2170</v>
      </c>
      <c r="D134" t="s">
        <v>2171</v>
      </c>
      <c r="E134" t="s">
        <v>119</v>
      </c>
      <c r="F134" t="s">
        <v>120</v>
      </c>
      <c r="G134" t="s">
        <v>120</v>
      </c>
      <c r="H134">
        <v>0</v>
      </c>
      <c r="I134">
        <v>4.09</v>
      </c>
      <c r="J134" t="s">
        <v>163</v>
      </c>
      <c r="K134" t="s">
        <v>140</v>
      </c>
      <c r="L134">
        <v>326</v>
      </c>
      <c r="M134">
        <v>2014</v>
      </c>
      <c r="N134">
        <v>2014</v>
      </c>
      <c r="O134" s="2"/>
      <c r="P134" s="2">
        <v>43494</v>
      </c>
      <c r="Q134" t="s">
        <v>132</v>
      </c>
      <c r="R134" t="s">
        <v>2172</v>
      </c>
      <c r="S134" t="s">
        <v>132</v>
      </c>
      <c r="T134" t="s">
        <v>119</v>
      </c>
      <c r="U134" t="s">
        <v>119</v>
      </c>
      <c r="V134" t="s">
        <v>119</v>
      </c>
      <c r="W134">
        <v>0</v>
      </c>
      <c r="X134">
        <v>0</v>
      </c>
    </row>
    <row r="135" spans="1:24" x14ac:dyDescent="0.25">
      <c r="A135">
        <v>38315</v>
      </c>
      <c r="B135" t="s">
        <v>1360</v>
      </c>
      <c r="C135" t="s">
        <v>1361</v>
      </c>
      <c r="D135" t="s">
        <v>1362</v>
      </c>
      <c r="E135" t="s">
        <v>119</v>
      </c>
      <c r="F135" t="s">
        <v>1363</v>
      </c>
      <c r="G135" t="s">
        <v>1364</v>
      </c>
      <c r="H135">
        <v>0</v>
      </c>
      <c r="I135">
        <v>4.08</v>
      </c>
      <c r="J135" t="s">
        <v>1365</v>
      </c>
      <c r="K135" t="s">
        <v>140</v>
      </c>
      <c r="L135">
        <v>368</v>
      </c>
      <c r="M135">
        <v>2005</v>
      </c>
      <c r="N135">
        <v>2001</v>
      </c>
      <c r="O135" s="2"/>
      <c r="P135" s="2">
        <v>44069</v>
      </c>
      <c r="Q135" t="s">
        <v>132</v>
      </c>
      <c r="R135" t="s">
        <v>1366</v>
      </c>
      <c r="S135" t="s">
        <v>132</v>
      </c>
      <c r="T135" t="s">
        <v>119</v>
      </c>
      <c r="U135" t="s">
        <v>119</v>
      </c>
      <c r="V135" t="s">
        <v>119</v>
      </c>
      <c r="W135">
        <v>0</v>
      </c>
      <c r="X135">
        <v>0</v>
      </c>
    </row>
    <row r="136" spans="1:24" x14ac:dyDescent="0.25">
      <c r="A136">
        <v>55742688</v>
      </c>
      <c r="B136" t="s">
        <v>242</v>
      </c>
      <c r="C136" t="s">
        <v>243</v>
      </c>
      <c r="D136" t="s">
        <v>244</v>
      </c>
      <c r="E136" t="s">
        <v>119</v>
      </c>
      <c r="F136" t="s">
        <v>120</v>
      </c>
      <c r="G136" t="s">
        <v>120</v>
      </c>
      <c r="H136">
        <v>5</v>
      </c>
      <c r="I136">
        <v>4.26</v>
      </c>
      <c r="J136" t="s">
        <v>245</v>
      </c>
      <c r="K136" t="s">
        <v>122</v>
      </c>
      <c r="L136">
        <v>290</v>
      </c>
      <c r="M136">
        <v>2021</v>
      </c>
      <c r="N136">
        <v>2021</v>
      </c>
      <c r="O136" s="2">
        <v>44920</v>
      </c>
      <c r="P136" s="2">
        <v>44563</v>
      </c>
      <c r="Q136" t="s">
        <v>119</v>
      </c>
      <c r="R136" t="s">
        <v>119</v>
      </c>
      <c r="S136" t="s">
        <v>125</v>
      </c>
      <c r="T136" t="s">
        <v>119</v>
      </c>
      <c r="U136" t="s">
        <v>119</v>
      </c>
      <c r="V136" t="s">
        <v>119</v>
      </c>
      <c r="W136">
        <v>1</v>
      </c>
      <c r="X136">
        <v>1</v>
      </c>
    </row>
    <row r="137" spans="1:24" x14ac:dyDescent="0.25">
      <c r="A137">
        <v>7905092</v>
      </c>
      <c r="B137" t="s">
        <v>864</v>
      </c>
      <c r="C137" t="s">
        <v>761</v>
      </c>
      <c r="D137" t="s">
        <v>762</v>
      </c>
      <c r="E137" t="s">
        <v>119</v>
      </c>
      <c r="F137" t="s">
        <v>865</v>
      </c>
      <c r="G137" t="s">
        <v>866</v>
      </c>
      <c r="H137">
        <v>0</v>
      </c>
      <c r="I137">
        <v>3.77</v>
      </c>
      <c r="J137" t="s">
        <v>245</v>
      </c>
      <c r="K137" t="s">
        <v>147</v>
      </c>
      <c r="L137">
        <v>562</v>
      </c>
      <c r="M137">
        <v>2010</v>
      </c>
      <c r="N137">
        <v>2010</v>
      </c>
      <c r="O137" s="2"/>
      <c r="P137" s="2">
        <v>44444</v>
      </c>
      <c r="Q137" t="s">
        <v>132</v>
      </c>
      <c r="R137" t="s">
        <v>867</v>
      </c>
      <c r="S137" t="s">
        <v>132</v>
      </c>
      <c r="T137" t="s">
        <v>119</v>
      </c>
      <c r="U137" t="s">
        <v>119</v>
      </c>
      <c r="V137" t="s">
        <v>119</v>
      </c>
      <c r="W137">
        <v>0</v>
      </c>
      <c r="X137">
        <v>0</v>
      </c>
    </row>
    <row r="138" spans="1:24" x14ac:dyDescent="0.25">
      <c r="A138">
        <v>52556505</v>
      </c>
      <c r="B138" t="s">
        <v>1296</v>
      </c>
      <c r="C138" t="s">
        <v>68</v>
      </c>
      <c r="D138" t="s">
        <v>1165</v>
      </c>
      <c r="E138" t="s">
        <v>119</v>
      </c>
      <c r="F138" t="s">
        <v>1297</v>
      </c>
      <c r="G138" t="s">
        <v>1298</v>
      </c>
      <c r="H138">
        <v>4</v>
      </c>
      <c r="I138">
        <v>4.0599999999999996</v>
      </c>
      <c r="J138" t="s">
        <v>1166</v>
      </c>
      <c r="K138" t="s">
        <v>147</v>
      </c>
      <c r="L138">
        <v>176</v>
      </c>
      <c r="M138">
        <v>2020</v>
      </c>
      <c r="O138" s="2">
        <v>44129</v>
      </c>
      <c r="P138" s="2">
        <v>44081</v>
      </c>
      <c r="Q138" t="s">
        <v>119</v>
      </c>
      <c r="R138" t="s">
        <v>119</v>
      </c>
      <c r="S138" t="s">
        <v>125</v>
      </c>
      <c r="T138" t="s">
        <v>119</v>
      </c>
      <c r="U138" t="s">
        <v>119</v>
      </c>
      <c r="V138" t="s">
        <v>119</v>
      </c>
      <c r="W138">
        <v>1</v>
      </c>
      <c r="X138">
        <v>0</v>
      </c>
    </row>
    <row r="139" spans="1:24" x14ac:dyDescent="0.25">
      <c r="A139">
        <v>44563332</v>
      </c>
      <c r="B139" t="s">
        <v>1249</v>
      </c>
      <c r="C139" t="s">
        <v>1250</v>
      </c>
      <c r="D139" t="s">
        <v>1251</v>
      </c>
      <c r="E139" t="s">
        <v>1252</v>
      </c>
      <c r="F139" t="s">
        <v>120</v>
      </c>
      <c r="G139" t="s">
        <v>120</v>
      </c>
      <c r="H139">
        <v>0</v>
      </c>
      <c r="I139">
        <v>3.97</v>
      </c>
      <c r="J139" t="s">
        <v>1253</v>
      </c>
      <c r="K139" t="s">
        <v>122</v>
      </c>
      <c r="L139">
        <v>300</v>
      </c>
      <c r="M139">
        <v>2019</v>
      </c>
      <c r="O139" s="2"/>
      <c r="P139" s="2">
        <v>44158</v>
      </c>
      <c r="Q139" t="s">
        <v>132</v>
      </c>
      <c r="R139" t="s">
        <v>1254</v>
      </c>
      <c r="S139" t="s">
        <v>132</v>
      </c>
      <c r="T139" t="s">
        <v>119</v>
      </c>
      <c r="U139" t="s">
        <v>119</v>
      </c>
      <c r="V139" t="s">
        <v>119</v>
      </c>
      <c r="W139">
        <v>0</v>
      </c>
      <c r="X139">
        <v>0</v>
      </c>
    </row>
    <row r="140" spans="1:24" x14ac:dyDescent="0.25">
      <c r="A140">
        <v>53398908</v>
      </c>
      <c r="B140" t="s">
        <v>402</v>
      </c>
      <c r="C140" t="s">
        <v>35</v>
      </c>
      <c r="D140" t="s">
        <v>403</v>
      </c>
      <c r="E140" t="s">
        <v>119</v>
      </c>
      <c r="F140" t="s">
        <v>404</v>
      </c>
      <c r="G140" t="s">
        <v>405</v>
      </c>
      <c r="H140">
        <v>0</v>
      </c>
      <c r="I140">
        <v>3.92</v>
      </c>
      <c r="J140" t="s">
        <v>238</v>
      </c>
      <c r="K140" t="s">
        <v>147</v>
      </c>
      <c r="L140">
        <v>272</v>
      </c>
      <c r="M140">
        <v>2021</v>
      </c>
      <c r="N140">
        <v>2021</v>
      </c>
      <c r="O140" s="2"/>
      <c r="P140" s="2">
        <v>44789</v>
      </c>
      <c r="Q140" t="s">
        <v>132</v>
      </c>
      <c r="R140" t="s">
        <v>406</v>
      </c>
      <c r="S140" t="s">
        <v>132</v>
      </c>
      <c r="T140" t="s">
        <v>119</v>
      </c>
      <c r="U140" t="s">
        <v>119</v>
      </c>
      <c r="V140" t="s">
        <v>119</v>
      </c>
      <c r="W140">
        <v>0</v>
      </c>
      <c r="X140">
        <v>0</v>
      </c>
    </row>
    <row r="141" spans="1:24" x14ac:dyDescent="0.25">
      <c r="A141">
        <v>52417307</v>
      </c>
      <c r="B141" t="s">
        <v>1479</v>
      </c>
      <c r="C141" t="s">
        <v>1480</v>
      </c>
      <c r="D141" t="s">
        <v>1481</v>
      </c>
      <c r="E141" t="s">
        <v>119</v>
      </c>
      <c r="F141" t="s">
        <v>1482</v>
      </c>
      <c r="G141" t="s">
        <v>1483</v>
      </c>
      <c r="H141">
        <v>0</v>
      </c>
      <c r="I141">
        <v>4.05</v>
      </c>
      <c r="J141" t="s">
        <v>1484</v>
      </c>
      <c r="K141" t="s">
        <v>147</v>
      </c>
      <c r="L141">
        <v>336</v>
      </c>
      <c r="M141">
        <v>2020</v>
      </c>
      <c r="O141" s="2"/>
      <c r="P141" s="2">
        <v>43993</v>
      </c>
      <c r="Q141" t="s">
        <v>132</v>
      </c>
      <c r="R141" t="s">
        <v>1485</v>
      </c>
      <c r="S141" t="s">
        <v>132</v>
      </c>
      <c r="T141" t="s">
        <v>119</v>
      </c>
      <c r="U141" t="s">
        <v>119</v>
      </c>
      <c r="V141" t="s">
        <v>119</v>
      </c>
      <c r="W141">
        <v>0</v>
      </c>
      <c r="X141">
        <v>0</v>
      </c>
    </row>
    <row r="142" spans="1:24" x14ac:dyDescent="0.25">
      <c r="A142">
        <v>7519557</v>
      </c>
      <c r="B142" t="s">
        <v>1513</v>
      </c>
      <c r="C142" t="s">
        <v>1514</v>
      </c>
      <c r="D142" t="s">
        <v>1515</v>
      </c>
      <c r="E142" t="s">
        <v>119</v>
      </c>
      <c r="F142" t="s">
        <v>1516</v>
      </c>
      <c r="G142" t="s">
        <v>1517</v>
      </c>
      <c r="H142">
        <v>0</v>
      </c>
      <c r="I142">
        <v>4.3</v>
      </c>
      <c r="J142" t="s">
        <v>1518</v>
      </c>
      <c r="K142" t="s">
        <v>140</v>
      </c>
      <c r="L142">
        <v>366</v>
      </c>
      <c r="M142">
        <v>2009</v>
      </c>
      <c r="N142">
        <v>2011</v>
      </c>
      <c r="O142" s="2"/>
      <c r="P142" s="2">
        <v>43976</v>
      </c>
      <c r="Q142" t="s">
        <v>1519</v>
      </c>
      <c r="R142" t="s">
        <v>1520</v>
      </c>
      <c r="S142" t="s">
        <v>125</v>
      </c>
      <c r="T142" t="s">
        <v>119</v>
      </c>
      <c r="U142" t="s">
        <v>119</v>
      </c>
      <c r="V142" t="s">
        <v>119</v>
      </c>
      <c r="W142">
        <v>1</v>
      </c>
      <c r="X142">
        <v>0</v>
      </c>
    </row>
    <row r="143" spans="1:24" x14ac:dyDescent="0.25">
      <c r="A143">
        <v>98685</v>
      </c>
      <c r="B143" t="s">
        <v>2929</v>
      </c>
      <c r="C143" t="s">
        <v>901</v>
      </c>
      <c r="D143" t="s">
        <v>902</v>
      </c>
      <c r="E143" t="s">
        <v>1375</v>
      </c>
      <c r="F143" t="s">
        <v>2930</v>
      </c>
      <c r="G143" t="s">
        <v>2931</v>
      </c>
      <c r="H143">
        <v>5</v>
      </c>
      <c r="I143">
        <v>4.1100000000000003</v>
      </c>
      <c r="J143" t="s">
        <v>436</v>
      </c>
      <c r="K143" t="s">
        <v>140</v>
      </c>
      <c r="L143">
        <v>531</v>
      </c>
      <c r="M143">
        <v>1993</v>
      </c>
      <c r="N143">
        <v>1992</v>
      </c>
      <c r="O143" s="2"/>
      <c r="P143" s="2">
        <v>42165</v>
      </c>
      <c r="Q143" t="s">
        <v>2418</v>
      </c>
      <c r="R143" t="s">
        <v>2932</v>
      </c>
      <c r="S143" t="s">
        <v>125</v>
      </c>
      <c r="T143" t="s">
        <v>119</v>
      </c>
      <c r="U143" t="s">
        <v>119</v>
      </c>
      <c r="V143" t="s">
        <v>119</v>
      </c>
      <c r="W143">
        <v>1</v>
      </c>
      <c r="X143">
        <v>0</v>
      </c>
    </row>
    <row r="144" spans="1:24" x14ac:dyDescent="0.25">
      <c r="A144">
        <v>636449</v>
      </c>
      <c r="B144" t="s">
        <v>2035</v>
      </c>
      <c r="C144" t="s">
        <v>2036</v>
      </c>
      <c r="D144" t="s">
        <v>2037</v>
      </c>
      <c r="E144" t="s">
        <v>2038</v>
      </c>
      <c r="F144" t="s">
        <v>2039</v>
      </c>
      <c r="G144" t="s">
        <v>2040</v>
      </c>
      <c r="H144">
        <v>0</v>
      </c>
      <c r="I144">
        <v>4.12</v>
      </c>
      <c r="J144" t="s">
        <v>2041</v>
      </c>
      <c r="K144" t="s">
        <v>140</v>
      </c>
      <c r="L144">
        <v>380</v>
      </c>
      <c r="M144">
        <v>2000</v>
      </c>
      <c r="N144">
        <v>1998</v>
      </c>
      <c r="O144" s="2"/>
      <c r="P144" s="2">
        <v>43542</v>
      </c>
      <c r="Q144" t="s">
        <v>132</v>
      </c>
      <c r="R144" t="s">
        <v>2042</v>
      </c>
      <c r="S144" t="s">
        <v>132</v>
      </c>
      <c r="T144" t="s">
        <v>119</v>
      </c>
      <c r="U144" t="s">
        <v>119</v>
      </c>
      <c r="V144" t="s">
        <v>119</v>
      </c>
      <c r="W144">
        <v>0</v>
      </c>
      <c r="X144">
        <v>0</v>
      </c>
    </row>
    <row r="145" spans="1:24" x14ac:dyDescent="0.25">
      <c r="A145">
        <v>447648</v>
      </c>
      <c r="B145" t="s">
        <v>1975</v>
      </c>
      <c r="C145" t="s">
        <v>1976</v>
      </c>
      <c r="D145" t="s">
        <v>1977</v>
      </c>
      <c r="E145" t="s">
        <v>119</v>
      </c>
      <c r="F145" t="s">
        <v>120</v>
      </c>
      <c r="G145" t="s">
        <v>120</v>
      </c>
      <c r="H145">
        <v>4</v>
      </c>
      <c r="I145">
        <v>3.98</v>
      </c>
      <c r="J145" t="s">
        <v>1978</v>
      </c>
      <c r="K145" t="s">
        <v>273</v>
      </c>
      <c r="L145">
        <v>171</v>
      </c>
      <c r="M145">
        <v>2006</v>
      </c>
      <c r="N145">
        <v>2006</v>
      </c>
      <c r="O145" s="2"/>
      <c r="P145" s="2">
        <v>43045</v>
      </c>
      <c r="Q145" t="s">
        <v>830</v>
      </c>
      <c r="R145" t="s">
        <v>1979</v>
      </c>
      <c r="S145" t="s">
        <v>125</v>
      </c>
      <c r="T145" t="s">
        <v>119</v>
      </c>
      <c r="U145" t="s">
        <v>119</v>
      </c>
      <c r="V145" t="s">
        <v>119</v>
      </c>
      <c r="W145">
        <v>1</v>
      </c>
      <c r="X145">
        <v>0</v>
      </c>
    </row>
    <row r="146" spans="1:24" x14ac:dyDescent="0.25">
      <c r="A146">
        <v>1633</v>
      </c>
      <c r="B146" t="s">
        <v>1912</v>
      </c>
      <c r="C146" t="s">
        <v>1913</v>
      </c>
      <c r="D146" t="s">
        <v>1914</v>
      </c>
      <c r="E146" t="s">
        <v>119</v>
      </c>
      <c r="F146" t="s">
        <v>1915</v>
      </c>
      <c r="G146" t="s">
        <v>1916</v>
      </c>
      <c r="H146">
        <v>0</v>
      </c>
      <c r="I146">
        <v>4</v>
      </c>
      <c r="J146" t="s">
        <v>1536</v>
      </c>
      <c r="K146" t="s">
        <v>140</v>
      </c>
      <c r="L146">
        <v>267</v>
      </c>
      <c r="M146">
        <v>2002</v>
      </c>
      <c r="N146">
        <v>2001</v>
      </c>
      <c r="O146" s="2"/>
      <c r="P146" s="2">
        <v>43557</v>
      </c>
      <c r="Q146" t="s">
        <v>132</v>
      </c>
      <c r="R146" t="s">
        <v>1917</v>
      </c>
      <c r="S146" t="s">
        <v>132</v>
      </c>
      <c r="T146" t="s">
        <v>119</v>
      </c>
      <c r="U146" t="s">
        <v>119</v>
      </c>
      <c r="V146" t="s">
        <v>119</v>
      </c>
      <c r="W146">
        <v>0</v>
      </c>
      <c r="X146">
        <v>0</v>
      </c>
    </row>
    <row r="147" spans="1:24" x14ac:dyDescent="0.25">
      <c r="A147">
        <v>16158498</v>
      </c>
      <c r="B147" t="s">
        <v>1965</v>
      </c>
      <c r="C147" t="s">
        <v>1116</v>
      </c>
      <c r="D147" t="s">
        <v>1117</v>
      </c>
      <c r="E147" t="s">
        <v>119</v>
      </c>
      <c r="F147" t="s">
        <v>1966</v>
      </c>
      <c r="G147" t="s">
        <v>1967</v>
      </c>
      <c r="H147">
        <v>4</v>
      </c>
      <c r="I147">
        <v>4.08</v>
      </c>
      <c r="J147" t="s">
        <v>1247</v>
      </c>
      <c r="K147" t="s">
        <v>147</v>
      </c>
      <c r="L147">
        <v>320</v>
      </c>
      <c r="M147">
        <v>2013</v>
      </c>
      <c r="N147">
        <v>2013</v>
      </c>
      <c r="O147" s="2">
        <v>43596</v>
      </c>
      <c r="P147" s="2">
        <v>43574</v>
      </c>
      <c r="Q147" t="s">
        <v>119</v>
      </c>
      <c r="R147" t="s">
        <v>119</v>
      </c>
      <c r="S147" t="s">
        <v>125</v>
      </c>
      <c r="T147" t="s">
        <v>119</v>
      </c>
      <c r="U147" t="s">
        <v>119</v>
      </c>
      <c r="V147" t="s">
        <v>119</v>
      </c>
      <c r="W147">
        <v>1</v>
      </c>
      <c r="X147">
        <v>0</v>
      </c>
    </row>
    <row r="148" spans="1:24" x14ac:dyDescent="0.25">
      <c r="A148">
        <v>76865</v>
      </c>
      <c r="B148" t="s">
        <v>1311</v>
      </c>
      <c r="C148" t="s">
        <v>1184</v>
      </c>
      <c r="D148" t="s">
        <v>1185</v>
      </c>
      <c r="E148" t="s">
        <v>119</v>
      </c>
      <c r="F148" t="s">
        <v>1312</v>
      </c>
      <c r="G148" t="s">
        <v>1313</v>
      </c>
      <c r="H148">
        <v>0</v>
      </c>
      <c r="I148">
        <v>4.1399999999999997</v>
      </c>
      <c r="J148" t="s">
        <v>381</v>
      </c>
      <c r="K148" t="s">
        <v>147</v>
      </c>
      <c r="L148">
        <v>300</v>
      </c>
      <c r="M148">
        <v>2001</v>
      </c>
      <c r="N148">
        <v>2001</v>
      </c>
      <c r="O148" s="2"/>
      <c r="P148" s="2">
        <v>44115</v>
      </c>
      <c r="Q148" t="s">
        <v>132</v>
      </c>
      <c r="R148" t="s">
        <v>1314</v>
      </c>
      <c r="S148" t="s">
        <v>132</v>
      </c>
      <c r="T148" t="s">
        <v>119</v>
      </c>
      <c r="U148" t="s">
        <v>119</v>
      </c>
      <c r="V148" t="s">
        <v>119</v>
      </c>
      <c r="W148">
        <v>0</v>
      </c>
      <c r="X148">
        <v>0</v>
      </c>
    </row>
    <row r="149" spans="1:24" x14ac:dyDescent="0.25">
      <c r="A149">
        <v>52838315</v>
      </c>
      <c r="B149" t="s">
        <v>974</v>
      </c>
      <c r="C149" t="s">
        <v>975</v>
      </c>
      <c r="D149" t="s">
        <v>976</v>
      </c>
      <c r="E149" t="s">
        <v>119</v>
      </c>
      <c r="F149" t="s">
        <v>977</v>
      </c>
      <c r="G149" t="s">
        <v>978</v>
      </c>
      <c r="H149">
        <v>0</v>
      </c>
      <c r="I149">
        <v>4.21</v>
      </c>
      <c r="J149" t="s">
        <v>193</v>
      </c>
      <c r="K149" t="s">
        <v>147</v>
      </c>
      <c r="L149">
        <v>308</v>
      </c>
      <c r="M149">
        <v>2020</v>
      </c>
      <c r="N149">
        <v>2020</v>
      </c>
      <c r="O149" s="2"/>
      <c r="P149" s="2">
        <v>44378</v>
      </c>
      <c r="Q149" t="s">
        <v>132</v>
      </c>
      <c r="R149" t="s">
        <v>979</v>
      </c>
      <c r="S149" t="s">
        <v>132</v>
      </c>
      <c r="T149" t="s">
        <v>119</v>
      </c>
      <c r="U149" t="s">
        <v>119</v>
      </c>
      <c r="V149" t="s">
        <v>119</v>
      </c>
      <c r="W149">
        <v>0</v>
      </c>
      <c r="X149">
        <v>0</v>
      </c>
    </row>
    <row r="150" spans="1:24" x14ac:dyDescent="0.25">
      <c r="A150">
        <v>31120498</v>
      </c>
      <c r="B150" t="s">
        <v>2637</v>
      </c>
      <c r="C150" t="s">
        <v>2638</v>
      </c>
      <c r="D150" t="s">
        <v>2639</v>
      </c>
      <c r="E150" t="s">
        <v>119</v>
      </c>
      <c r="F150" t="s">
        <v>120</v>
      </c>
      <c r="G150" t="s">
        <v>120</v>
      </c>
      <c r="H150">
        <v>0</v>
      </c>
      <c r="I150">
        <v>4.25</v>
      </c>
      <c r="J150" t="s">
        <v>2640</v>
      </c>
      <c r="K150" t="s">
        <v>122</v>
      </c>
      <c r="L150">
        <v>71</v>
      </c>
      <c r="M150">
        <v>2016</v>
      </c>
      <c r="O150" s="2"/>
      <c r="P150" s="2">
        <v>42669</v>
      </c>
      <c r="Q150" t="s">
        <v>132</v>
      </c>
      <c r="R150" t="s">
        <v>2641</v>
      </c>
      <c r="S150" t="s">
        <v>132</v>
      </c>
      <c r="T150" t="s">
        <v>119</v>
      </c>
      <c r="U150" t="s">
        <v>119</v>
      </c>
      <c r="V150" t="s">
        <v>119</v>
      </c>
      <c r="W150">
        <v>0</v>
      </c>
      <c r="X150">
        <v>0</v>
      </c>
    </row>
    <row r="151" spans="1:24" x14ac:dyDescent="0.25">
      <c r="A151">
        <v>28192219</v>
      </c>
      <c r="B151" t="s">
        <v>2429</v>
      </c>
      <c r="C151" t="s">
        <v>2430</v>
      </c>
      <c r="D151" t="s">
        <v>2431</v>
      </c>
      <c r="E151" t="s">
        <v>119</v>
      </c>
      <c r="F151" t="s">
        <v>120</v>
      </c>
      <c r="G151" t="s">
        <v>120</v>
      </c>
      <c r="H151">
        <v>0</v>
      </c>
      <c r="I151">
        <v>3.83</v>
      </c>
      <c r="J151" t="s">
        <v>119</v>
      </c>
      <c r="K151" t="s">
        <v>122</v>
      </c>
      <c r="L151">
        <v>205</v>
      </c>
      <c r="M151">
        <v>2015</v>
      </c>
      <c r="O151" s="2"/>
      <c r="P151" s="2">
        <v>42949</v>
      </c>
      <c r="Q151" t="s">
        <v>1983</v>
      </c>
      <c r="R151" t="s">
        <v>2432</v>
      </c>
      <c r="S151" t="s">
        <v>132</v>
      </c>
      <c r="T151" t="s">
        <v>119</v>
      </c>
      <c r="U151" t="s">
        <v>119</v>
      </c>
      <c r="V151" t="s">
        <v>119</v>
      </c>
      <c r="W151">
        <v>0</v>
      </c>
      <c r="X151">
        <v>0</v>
      </c>
    </row>
    <row r="152" spans="1:24" x14ac:dyDescent="0.25">
      <c r="A152">
        <v>62314641</v>
      </c>
      <c r="B152" t="s">
        <v>55</v>
      </c>
      <c r="C152" t="s">
        <v>56</v>
      </c>
      <c r="D152" t="s">
        <v>166</v>
      </c>
      <c r="E152" t="s">
        <v>119</v>
      </c>
      <c r="F152" t="s">
        <v>167</v>
      </c>
      <c r="G152" t="s">
        <v>168</v>
      </c>
      <c r="H152">
        <v>0</v>
      </c>
      <c r="I152">
        <v>4.0599999999999996</v>
      </c>
      <c r="J152" t="s">
        <v>169</v>
      </c>
      <c r="K152" t="s">
        <v>147</v>
      </c>
      <c r="L152">
        <v>320</v>
      </c>
      <c r="M152">
        <v>2022</v>
      </c>
      <c r="O152" s="2"/>
      <c r="P152" s="2">
        <v>44942</v>
      </c>
      <c r="Q152" t="s">
        <v>132</v>
      </c>
      <c r="R152" t="s">
        <v>170</v>
      </c>
      <c r="S152" t="s">
        <v>132</v>
      </c>
      <c r="T152" t="s">
        <v>119</v>
      </c>
      <c r="U152" t="s">
        <v>119</v>
      </c>
      <c r="V152" t="s">
        <v>119</v>
      </c>
      <c r="W152">
        <v>0</v>
      </c>
      <c r="X152">
        <v>0</v>
      </c>
    </row>
    <row r="153" spans="1:24" x14ac:dyDescent="0.25">
      <c r="A153">
        <v>302971</v>
      </c>
      <c r="B153" t="s">
        <v>2231</v>
      </c>
      <c r="C153" t="s">
        <v>2232</v>
      </c>
      <c r="D153" t="s">
        <v>2233</v>
      </c>
      <c r="E153" t="s">
        <v>119</v>
      </c>
      <c r="F153" t="s">
        <v>2234</v>
      </c>
      <c r="G153" t="s">
        <v>2235</v>
      </c>
      <c r="H153">
        <v>0</v>
      </c>
      <c r="I153">
        <v>3.81</v>
      </c>
      <c r="J153" t="s">
        <v>2236</v>
      </c>
      <c r="K153" t="s">
        <v>147</v>
      </c>
      <c r="L153">
        <v>208</v>
      </c>
      <c r="M153">
        <v>2007</v>
      </c>
      <c r="N153">
        <v>2007</v>
      </c>
      <c r="O153" s="2"/>
      <c r="P153" s="2">
        <v>43394</v>
      </c>
      <c r="Q153" t="s">
        <v>132</v>
      </c>
      <c r="R153" t="s">
        <v>2237</v>
      </c>
      <c r="S153" t="s">
        <v>132</v>
      </c>
      <c r="T153" t="s">
        <v>119</v>
      </c>
      <c r="U153" t="s">
        <v>119</v>
      </c>
      <c r="V153" t="s">
        <v>119</v>
      </c>
      <c r="W153">
        <v>0</v>
      </c>
      <c r="X153">
        <v>0</v>
      </c>
    </row>
    <row r="154" spans="1:24" x14ac:dyDescent="0.25">
      <c r="A154">
        <v>10374</v>
      </c>
      <c r="B154" t="s">
        <v>2660</v>
      </c>
      <c r="C154" t="s">
        <v>915</v>
      </c>
      <c r="D154" t="s">
        <v>916</v>
      </c>
      <c r="E154" t="s">
        <v>2661</v>
      </c>
      <c r="F154" t="s">
        <v>120</v>
      </c>
      <c r="G154" t="s">
        <v>120</v>
      </c>
      <c r="H154">
        <v>4</v>
      </c>
      <c r="I154">
        <v>4.13</v>
      </c>
      <c r="J154" t="s">
        <v>436</v>
      </c>
      <c r="K154" t="s">
        <v>140</v>
      </c>
      <c r="L154">
        <v>400</v>
      </c>
      <c r="M154">
        <v>2003</v>
      </c>
      <c r="N154">
        <v>1985</v>
      </c>
      <c r="O154" s="2"/>
      <c r="P154" s="2">
        <v>42629</v>
      </c>
      <c r="Q154" t="s">
        <v>119</v>
      </c>
      <c r="R154" t="s">
        <v>119</v>
      </c>
      <c r="S154" t="s">
        <v>125</v>
      </c>
      <c r="T154" t="s">
        <v>119</v>
      </c>
      <c r="U154" t="s">
        <v>119</v>
      </c>
      <c r="V154" t="s">
        <v>119</v>
      </c>
      <c r="W154">
        <v>1</v>
      </c>
      <c r="X154">
        <v>0</v>
      </c>
    </row>
    <row r="155" spans="1:24" x14ac:dyDescent="0.25">
      <c r="A155">
        <v>17288646</v>
      </c>
      <c r="B155" t="s">
        <v>358</v>
      </c>
      <c r="C155" t="s">
        <v>359</v>
      </c>
      <c r="D155" t="s">
        <v>360</v>
      </c>
      <c r="E155" t="s">
        <v>119</v>
      </c>
      <c r="F155" t="s">
        <v>361</v>
      </c>
      <c r="G155" t="s">
        <v>362</v>
      </c>
      <c r="H155">
        <v>0</v>
      </c>
      <c r="I155">
        <v>3.64</v>
      </c>
      <c r="J155" t="s">
        <v>163</v>
      </c>
      <c r="K155" t="s">
        <v>147</v>
      </c>
      <c r="L155">
        <v>304</v>
      </c>
      <c r="M155">
        <v>2013</v>
      </c>
      <c r="N155">
        <v>2013</v>
      </c>
      <c r="O155" s="2"/>
      <c r="P155" s="2">
        <v>44795</v>
      </c>
      <c r="Q155" t="s">
        <v>265</v>
      </c>
      <c r="R155" t="s">
        <v>363</v>
      </c>
      <c r="S155" t="s">
        <v>265</v>
      </c>
      <c r="T155" t="s">
        <v>119</v>
      </c>
      <c r="U155" t="s">
        <v>119</v>
      </c>
      <c r="V155" t="s">
        <v>119</v>
      </c>
      <c r="W155">
        <v>1</v>
      </c>
      <c r="X155">
        <v>0</v>
      </c>
    </row>
    <row r="156" spans="1:24" x14ac:dyDescent="0.25">
      <c r="A156">
        <v>11296</v>
      </c>
      <c r="B156" t="s">
        <v>2771</v>
      </c>
      <c r="C156" t="s">
        <v>2772</v>
      </c>
      <c r="D156" t="s">
        <v>2773</v>
      </c>
      <c r="E156" t="s">
        <v>119</v>
      </c>
      <c r="F156" t="s">
        <v>2774</v>
      </c>
      <c r="G156" t="s">
        <v>2775</v>
      </c>
      <c r="H156">
        <v>4</v>
      </c>
      <c r="I156">
        <v>3.84</v>
      </c>
      <c r="J156" t="s">
        <v>436</v>
      </c>
      <c r="K156" t="s">
        <v>140</v>
      </c>
      <c r="L156">
        <v>462</v>
      </c>
      <c r="M156">
        <v>2005</v>
      </c>
      <c r="N156">
        <v>2002</v>
      </c>
      <c r="O156" s="2"/>
      <c r="P156" s="2">
        <v>42307</v>
      </c>
      <c r="Q156" t="s">
        <v>609</v>
      </c>
      <c r="R156" t="s">
        <v>2776</v>
      </c>
      <c r="S156" t="s">
        <v>125</v>
      </c>
      <c r="T156" t="s">
        <v>119</v>
      </c>
      <c r="U156" t="s">
        <v>119</v>
      </c>
      <c r="V156" t="s">
        <v>119</v>
      </c>
      <c r="W156">
        <v>1</v>
      </c>
      <c r="X156">
        <v>0</v>
      </c>
    </row>
    <row r="157" spans="1:24" x14ac:dyDescent="0.25">
      <c r="A157">
        <v>324750</v>
      </c>
      <c r="B157" t="s">
        <v>431</v>
      </c>
      <c r="C157" t="s">
        <v>432</v>
      </c>
      <c r="D157" t="s">
        <v>433</v>
      </c>
      <c r="E157" t="s">
        <v>119</v>
      </c>
      <c r="F157" t="s">
        <v>434</v>
      </c>
      <c r="G157" t="s">
        <v>435</v>
      </c>
      <c r="H157">
        <v>0</v>
      </c>
      <c r="I157">
        <v>4.3099999999999996</v>
      </c>
      <c r="J157" t="s">
        <v>436</v>
      </c>
      <c r="K157" t="s">
        <v>140</v>
      </c>
      <c r="L157">
        <v>272</v>
      </c>
      <c r="M157">
        <v>1995</v>
      </c>
      <c r="N157">
        <v>1983</v>
      </c>
      <c r="O157" s="2"/>
      <c r="P157" s="2">
        <v>44769</v>
      </c>
      <c r="Q157" t="s">
        <v>132</v>
      </c>
      <c r="R157" t="s">
        <v>437</v>
      </c>
      <c r="S157" t="s">
        <v>132</v>
      </c>
      <c r="T157" t="s">
        <v>119</v>
      </c>
      <c r="U157" t="s">
        <v>119</v>
      </c>
      <c r="V157" t="s">
        <v>119</v>
      </c>
      <c r="W157">
        <v>0</v>
      </c>
      <c r="X157">
        <v>0</v>
      </c>
    </row>
    <row r="158" spans="1:24" x14ac:dyDescent="0.25">
      <c r="A158">
        <v>30227731</v>
      </c>
      <c r="B158" t="s">
        <v>75</v>
      </c>
      <c r="C158" t="s">
        <v>1022</v>
      </c>
      <c r="D158" t="s">
        <v>1023</v>
      </c>
      <c r="E158" t="s">
        <v>119</v>
      </c>
      <c r="F158" t="s">
        <v>1024</v>
      </c>
      <c r="G158" t="s">
        <v>1025</v>
      </c>
      <c r="H158">
        <v>0</v>
      </c>
      <c r="I158">
        <v>4.13</v>
      </c>
      <c r="J158" t="s">
        <v>565</v>
      </c>
      <c r="K158" t="s">
        <v>147</v>
      </c>
      <c r="L158">
        <v>393</v>
      </c>
      <c r="M158">
        <v>2017</v>
      </c>
      <c r="N158">
        <v>2017</v>
      </c>
      <c r="O158" s="2"/>
      <c r="P158" s="2">
        <v>44286</v>
      </c>
      <c r="Q158" t="s">
        <v>132</v>
      </c>
      <c r="R158" t="s">
        <v>1026</v>
      </c>
      <c r="S158" t="s">
        <v>132</v>
      </c>
      <c r="T158" t="s">
        <v>119</v>
      </c>
      <c r="U158" t="s">
        <v>119</v>
      </c>
      <c r="V158" t="s">
        <v>119</v>
      </c>
      <c r="W158">
        <v>0</v>
      </c>
      <c r="X158">
        <v>0</v>
      </c>
    </row>
    <row r="159" spans="1:24" x14ac:dyDescent="0.25">
      <c r="A159">
        <v>30835567</v>
      </c>
      <c r="B159" t="s">
        <v>982</v>
      </c>
      <c r="C159" t="s">
        <v>983</v>
      </c>
      <c r="D159" t="s">
        <v>984</v>
      </c>
      <c r="E159" t="s">
        <v>985</v>
      </c>
      <c r="F159" t="s">
        <v>986</v>
      </c>
      <c r="G159" t="s">
        <v>987</v>
      </c>
      <c r="H159">
        <v>3</v>
      </c>
      <c r="I159">
        <v>3.79</v>
      </c>
      <c r="J159" t="s">
        <v>381</v>
      </c>
      <c r="K159" t="s">
        <v>147</v>
      </c>
      <c r="L159">
        <v>273</v>
      </c>
      <c r="M159">
        <v>2017</v>
      </c>
      <c r="N159">
        <v>2017</v>
      </c>
      <c r="O159" s="2">
        <v>44368</v>
      </c>
      <c r="P159" s="2">
        <v>44355</v>
      </c>
      <c r="Q159" t="s">
        <v>119</v>
      </c>
      <c r="R159" t="s">
        <v>119</v>
      </c>
      <c r="S159" t="s">
        <v>125</v>
      </c>
      <c r="T159" t="s">
        <v>119</v>
      </c>
      <c r="U159" t="s">
        <v>119</v>
      </c>
      <c r="V159" t="s">
        <v>119</v>
      </c>
      <c r="W159">
        <v>1</v>
      </c>
      <c r="X159">
        <v>0</v>
      </c>
    </row>
    <row r="160" spans="1:24" x14ac:dyDescent="0.25">
      <c r="A160">
        <v>31138556</v>
      </c>
      <c r="B160" t="s">
        <v>315</v>
      </c>
      <c r="C160" t="s">
        <v>50</v>
      </c>
      <c r="D160" t="s">
        <v>316</v>
      </c>
      <c r="E160" t="s">
        <v>119</v>
      </c>
      <c r="F160" t="s">
        <v>120</v>
      </c>
      <c r="G160" t="s">
        <v>120</v>
      </c>
      <c r="H160">
        <v>0</v>
      </c>
      <c r="I160">
        <v>4.22</v>
      </c>
      <c r="J160" t="s">
        <v>317</v>
      </c>
      <c r="K160" t="s">
        <v>122</v>
      </c>
      <c r="L160">
        <v>450</v>
      </c>
      <c r="M160">
        <v>2017</v>
      </c>
      <c r="N160">
        <v>2015</v>
      </c>
      <c r="O160" s="2"/>
      <c r="P160" s="2">
        <v>43949</v>
      </c>
      <c r="Q160" t="s">
        <v>265</v>
      </c>
      <c r="R160" t="s">
        <v>318</v>
      </c>
      <c r="S160" t="s">
        <v>265</v>
      </c>
      <c r="T160" t="s">
        <v>119</v>
      </c>
      <c r="U160" t="s">
        <v>119</v>
      </c>
      <c r="V160" t="s">
        <v>119</v>
      </c>
      <c r="W160">
        <v>1</v>
      </c>
      <c r="X160">
        <v>0</v>
      </c>
    </row>
    <row r="161" spans="1:24" x14ac:dyDescent="0.25">
      <c r="A161">
        <v>212825</v>
      </c>
      <c r="B161" t="s">
        <v>2160</v>
      </c>
      <c r="C161" t="s">
        <v>2161</v>
      </c>
      <c r="D161" t="s">
        <v>2162</v>
      </c>
      <c r="E161" t="s">
        <v>119</v>
      </c>
      <c r="F161" t="s">
        <v>2163</v>
      </c>
      <c r="G161" t="s">
        <v>2164</v>
      </c>
      <c r="H161">
        <v>0</v>
      </c>
      <c r="I161">
        <v>3.9</v>
      </c>
      <c r="J161" t="s">
        <v>119</v>
      </c>
      <c r="K161" t="s">
        <v>140</v>
      </c>
      <c r="L161">
        <v>128</v>
      </c>
      <c r="M161">
        <v>2000</v>
      </c>
      <c r="N161">
        <v>2000</v>
      </c>
      <c r="O161" s="2"/>
      <c r="P161" s="2">
        <v>43508</v>
      </c>
      <c r="Q161" t="s">
        <v>119</v>
      </c>
      <c r="R161" t="s">
        <v>119</v>
      </c>
      <c r="S161" t="s">
        <v>125</v>
      </c>
      <c r="T161" t="s">
        <v>119</v>
      </c>
      <c r="U161" t="s">
        <v>119</v>
      </c>
      <c r="V161" t="s">
        <v>119</v>
      </c>
      <c r="W161">
        <v>1</v>
      </c>
      <c r="X161">
        <v>0</v>
      </c>
    </row>
    <row r="162" spans="1:24" x14ac:dyDescent="0.25">
      <c r="A162">
        <v>22668729</v>
      </c>
      <c r="B162" t="s">
        <v>911</v>
      </c>
      <c r="C162" t="s">
        <v>664</v>
      </c>
      <c r="D162" t="s">
        <v>665</v>
      </c>
      <c r="E162" t="s">
        <v>119</v>
      </c>
      <c r="F162" t="s">
        <v>912</v>
      </c>
      <c r="G162" t="s">
        <v>913</v>
      </c>
      <c r="H162">
        <v>4</v>
      </c>
      <c r="I162">
        <v>4.0999999999999996</v>
      </c>
      <c r="J162" t="s">
        <v>388</v>
      </c>
      <c r="K162" t="s">
        <v>147</v>
      </c>
      <c r="L162">
        <v>256</v>
      </c>
      <c r="M162">
        <v>2014</v>
      </c>
      <c r="N162">
        <v>2013</v>
      </c>
      <c r="O162" s="2">
        <v>44430</v>
      </c>
      <c r="P162" s="2">
        <v>44412</v>
      </c>
      <c r="Q162" t="s">
        <v>119</v>
      </c>
      <c r="R162" t="s">
        <v>119</v>
      </c>
      <c r="S162" t="s">
        <v>125</v>
      </c>
      <c r="T162" t="s">
        <v>119</v>
      </c>
      <c r="U162" t="s">
        <v>119</v>
      </c>
      <c r="V162" t="s">
        <v>119</v>
      </c>
      <c r="W162">
        <v>1</v>
      </c>
      <c r="X162">
        <v>0</v>
      </c>
    </row>
    <row r="163" spans="1:24" x14ac:dyDescent="0.25">
      <c r="A163">
        <v>23158207</v>
      </c>
      <c r="B163" t="s">
        <v>1816</v>
      </c>
      <c r="C163" t="s">
        <v>1817</v>
      </c>
      <c r="D163" t="s">
        <v>1818</v>
      </c>
      <c r="E163" t="s">
        <v>1819</v>
      </c>
      <c r="F163" t="s">
        <v>120</v>
      </c>
      <c r="G163" t="s">
        <v>120</v>
      </c>
      <c r="H163">
        <v>4</v>
      </c>
      <c r="I163">
        <v>4.05</v>
      </c>
      <c r="J163" t="s">
        <v>570</v>
      </c>
      <c r="K163" t="s">
        <v>122</v>
      </c>
      <c r="L163">
        <v>286</v>
      </c>
      <c r="M163">
        <v>2014</v>
      </c>
      <c r="N163">
        <v>2014</v>
      </c>
      <c r="O163" s="2">
        <v>43744</v>
      </c>
      <c r="P163" s="2">
        <v>43726</v>
      </c>
      <c r="Q163" t="s">
        <v>119</v>
      </c>
      <c r="R163" t="s">
        <v>119</v>
      </c>
      <c r="S163" t="s">
        <v>125</v>
      </c>
      <c r="T163" t="s">
        <v>119</v>
      </c>
      <c r="U163" t="s">
        <v>119</v>
      </c>
      <c r="V163" t="s">
        <v>119</v>
      </c>
      <c r="W163">
        <v>1</v>
      </c>
      <c r="X163">
        <v>0</v>
      </c>
    </row>
    <row r="164" spans="1:24" x14ac:dyDescent="0.25">
      <c r="A164">
        <v>24190822</v>
      </c>
      <c r="B164" t="s">
        <v>2359</v>
      </c>
      <c r="C164" t="s">
        <v>2360</v>
      </c>
      <c r="D164" t="s">
        <v>2361</v>
      </c>
      <c r="E164" t="s">
        <v>119</v>
      </c>
      <c r="F164" t="s">
        <v>120</v>
      </c>
      <c r="G164" t="s">
        <v>120</v>
      </c>
      <c r="H164">
        <v>3</v>
      </c>
      <c r="I164">
        <v>3.66</v>
      </c>
      <c r="J164" t="s">
        <v>119</v>
      </c>
      <c r="K164" t="s">
        <v>122</v>
      </c>
      <c r="L164">
        <v>125</v>
      </c>
      <c r="M164">
        <v>2014</v>
      </c>
      <c r="N164">
        <v>2014</v>
      </c>
      <c r="O164" s="2"/>
      <c r="P164" s="2">
        <v>43100</v>
      </c>
      <c r="Q164" t="s">
        <v>2362</v>
      </c>
      <c r="R164" t="s">
        <v>2363</v>
      </c>
      <c r="S164" t="s">
        <v>125</v>
      </c>
      <c r="T164" t="s">
        <v>119</v>
      </c>
      <c r="U164" t="s">
        <v>119</v>
      </c>
      <c r="V164" t="s">
        <v>119</v>
      </c>
      <c r="W164">
        <v>1</v>
      </c>
      <c r="X164">
        <v>0</v>
      </c>
    </row>
    <row r="165" spans="1:24" x14ac:dyDescent="0.25">
      <c r="A165">
        <v>18693884</v>
      </c>
      <c r="B165" t="s">
        <v>1727</v>
      </c>
      <c r="C165" t="s">
        <v>1728</v>
      </c>
      <c r="D165" t="s">
        <v>1729</v>
      </c>
      <c r="E165" t="s">
        <v>119</v>
      </c>
      <c r="F165" t="s">
        <v>1730</v>
      </c>
      <c r="G165" t="s">
        <v>1731</v>
      </c>
      <c r="H165">
        <v>5</v>
      </c>
      <c r="I165">
        <v>3.96</v>
      </c>
      <c r="J165" t="s">
        <v>238</v>
      </c>
      <c r="K165" t="s">
        <v>147</v>
      </c>
      <c r="L165">
        <v>480</v>
      </c>
      <c r="M165">
        <v>2014</v>
      </c>
      <c r="N165">
        <v>2014</v>
      </c>
      <c r="O165" s="2">
        <v>43825</v>
      </c>
      <c r="P165" s="2">
        <v>43799</v>
      </c>
      <c r="Q165" t="s">
        <v>119</v>
      </c>
      <c r="R165" t="s">
        <v>119</v>
      </c>
      <c r="S165" t="s">
        <v>125</v>
      </c>
      <c r="T165" t="s">
        <v>119</v>
      </c>
      <c r="U165" t="s">
        <v>119</v>
      </c>
      <c r="V165" t="s">
        <v>119</v>
      </c>
      <c r="W165">
        <v>1</v>
      </c>
      <c r="X165">
        <v>0</v>
      </c>
    </row>
    <row r="166" spans="1:24" x14ac:dyDescent="0.25">
      <c r="A166">
        <v>23420</v>
      </c>
      <c r="B166" t="s">
        <v>2139</v>
      </c>
      <c r="C166" t="s">
        <v>60</v>
      </c>
      <c r="D166" t="s">
        <v>841</v>
      </c>
      <c r="E166" t="s">
        <v>119</v>
      </c>
      <c r="F166" t="s">
        <v>2140</v>
      </c>
      <c r="G166" t="s">
        <v>2141</v>
      </c>
      <c r="H166">
        <v>0</v>
      </c>
      <c r="I166">
        <v>3.75</v>
      </c>
      <c r="J166" t="s">
        <v>436</v>
      </c>
      <c r="K166" t="s">
        <v>140</v>
      </c>
      <c r="L166">
        <v>208</v>
      </c>
      <c r="M166">
        <v>1998</v>
      </c>
      <c r="N166">
        <v>1998</v>
      </c>
      <c r="O166" s="2"/>
      <c r="P166" s="2">
        <v>43508</v>
      </c>
      <c r="Q166" t="s">
        <v>132</v>
      </c>
      <c r="R166" t="s">
        <v>2142</v>
      </c>
      <c r="S166" t="s">
        <v>132</v>
      </c>
      <c r="T166" t="s">
        <v>119</v>
      </c>
      <c r="U166" t="s">
        <v>119</v>
      </c>
      <c r="V166" t="s">
        <v>119</v>
      </c>
      <c r="W166">
        <v>0</v>
      </c>
      <c r="X166">
        <v>0</v>
      </c>
    </row>
    <row r="167" spans="1:24" x14ac:dyDescent="0.25">
      <c r="A167">
        <v>52275335</v>
      </c>
      <c r="B167" t="s">
        <v>770</v>
      </c>
      <c r="C167" t="s">
        <v>771</v>
      </c>
      <c r="D167" t="s">
        <v>772</v>
      </c>
      <c r="E167" t="s">
        <v>119</v>
      </c>
      <c r="F167" t="s">
        <v>773</v>
      </c>
      <c r="G167" t="s">
        <v>774</v>
      </c>
      <c r="H167">
        <v>4</v>
      </c>
      <c r="I167">
        <v>4.1500000000000004</v>
      </c>
      <c r="J167" t="s">
        <v>775</v>
      </c>
      <c r="K167" t="s">
        <v>147</v>
      </c>
      <c r="L167">
        <v>272</v>
      </c>
      <c r="M167">
        <v>2021</v>
      </c>
      <c r="N167">
        <v>2021</v>
      </c>
      <c r="O167" s="2">
        <v>44540</v>
      </c>
      <c r="P167" s="2">
        <v>44513</v>
      </c>
      <c r="Q167" t="s">
        <v>119</v>
      </c>
      <c r="R167" t="s">
        <v>119</v>
      </c>
      <c r="S167" t="s">
        <v>125</v>
      </c>
      <c r="T167" t="s">
        <v>119</v>
      </c>
      <c r="U167" t="s">
        <v>119</v>
      </c>
      <c r="V167" t="s">
        <v>119</v>
      </c>
      <c r="W167">
        <v>1</v>
      </c>
      <c r="X167">
        <v>0</v>
      </c>
    </row>
    <row r="168" spans="1:24" x14ac:dyDescent="0.25">
      <c r="A168">
        <v>35209767</v>
      </c>
      <c r="B168" t="s">
        <v>942</v>
      </c>
      <c r="C168" t="s">
        <v>943</v>
      </c>
      <c r="D168" t="s">
        <v>944</v>
      </c>
      <c r="E168" t="s">
        <v>119</v>
      </c>
      <c r="F168" t="s">
        <v>945</v>
      </c>
      <c r="G168" t="s">
        <v>946</v>
      </c>
      <c r="H168">
        <v>3</v>
      </c>
      <c r="I168">
        <v>3.93</v>
      </c>
      <c r="J168" t="s">
        <v>947</v>
      </c>
      <c r="K168" t="s">
        <v>140</v>
      </c>
      <c r="L168">
        <v>184</v>
      </c>
      <c r="M168">
        <v>2018</v>
      </c>
      <c r="N168">
        <v>2018</v>
      </c>
      <c r="O168" s="2">
        <v>44402</v>
      </c>
      <c r="P168" s="2">
        <v>44398</v>
      </c>
      <c r="Q168" t="s">
        <v>119</v>
      </c>
      <c r="R168" t="s">
        <v>119</v>
      </c>
      <c r="S168" t="s">
        <v>125</v>
      </c>
      <c r="T168" t="s">
        <v>119</v>
      </c>
      <c r="U168" t="s">
        <v>119</v>
      </c>
      <c r="V168" t="s">
        <v>119</v>
      </c>
      <c r="W168">
        <v>1</v>
      </c>
      <c r="X168">
        <v>0</v>
      </c>
    </row>
    <row r="169" spans="1:24" x14ac:dyDescent="0.25">
      <c r="A169">
        <v>36613747</v>
      </c>
      <c r="B169" t="s">
        <v>1613</v>
      </c>
      <c r="C169" t="s">
        <v>1614</v>
      </c>
      <c r="D169" t="s">
        <v>1615</v>
      </c>
      <c r="E169" t="s">
        <v>119</v>
      </c>
      <c r="F169" t="s">
        <v>1616</v>
      </c>
      <c r="G169" t="s">
        <v>1617</v>
      </c>
      <c r="H169">
        <v>0</v>
      </c>
      <c r="I169">
        <v>4.26</v>
      </c>
      <c r="J169" t="s">
        <v>775</v>
      </c>
      <c r="K169" t="s">
        <v>147</v>
      </c>
      <c r="L169">
        <v>480</v>
      </c>
      <c r="M169">
        <v>2018</v>
      </c>
      <c r="N169">
        <v>2018</v>
      </c>
      <c r="O169" s="2"/>
      <c r="P169" s="2">
        <v>43931</v>
      </c>
      <c r="Q169" t="s">
        <v>132</v>
      </c>
      <c r="R169" t="s">
        <v>1618</v>
      </c>
      <c r="S169" t="s">
        <v>132</v>
      </c>
      <c r="T169" t="s">
        <v>119</v>
      </c>
      <c r="U169" t="s">
        <v>119</v>
      </c>
      <c r="V169" t="s">
        <v>119</v>
      </c>
      <c r="W169">
        <v>0</v>
      </c>
      <c r="X169">
        <v>0</v>
      </c>
    </row>
    <row r="170" spans="1:24" x14ac:dyDescent="0.25">
      <c r="A170">
        <v>42771901</v>
      </c>
      <c r="B170" t="s">
        <v>1720</v>
      </c>
      <c r="C170" t="s">
        <v>1721</v>
      </c>
      <c r="D170" t="s">
        <v>1722</v>
      </c>
      <c r="E170" t="s">
        <v>119</v>
      </c>
      <c r="F170" t="s">
        <v>1723</v>
      </c>
      <c r="G170" t="s">
        <v>1724</v>
      </c>
      <c r="H170">
        <v>0</v>
      </c>
      <c r="I170">
        <v>3.73</v>
      </c>
      <c r="J170" t="s">
        <v>1725</v>
      </c>
      <c r="K170" t="s">
        <v>147</v>
      </c>
      <c r="L170">
        <v>232</v>
      </c>
      <c r="M170">
        <v>2019</v>
      </c>
      <c r="N170">
        <v>2019</v>
      </c>
      <c r="O170" s="2"/>
      <c r="P170" s="2">
        <v>43826</v>
      </c>
      <c r="Q170" t="s">
        <v>132</v>
      </c>
      <c r="R170" t="s">
        <v>1726</v>
      </c>
      <c r="S170" t="s">
        <v>132</v>
      </c>
      <c r="T170" t="s">
        <v>119</v>
      </c>
      <c r="U170" t="s">
        <v>119</v>
      </c>
      <c r="V170" t="s">
        <v>119</v>
      </c>
      <c r="W170">
        <v>0</v>
      </c>
      <c r="X170">
        <v>0</v>
      </c>
    </row>
    <row r="171" spans="1:24" x14ac:dyDescent="0.25">
      <c r="A171">
        <v>17859574</v>
      </c>
      <c r="B171" t="s">
        <v>2581</v>
      </c>
      <c r="C171" t="s">
        <v>2582</v>
      </c>
      <c r="D171" t="s">
        <v>2583</v>
      </c>
      <c r="E171" t="s">
        <v>119</v>
      </c>
      <c r="F171" t="s">
        <v>2584</v>
      </c>
      <c r="G171" t="s">
        <v>2585</v>
      </c>
      <c r="H171">
        <v>0</v>
      </c>
      <c r="I171">
        <v>4.05</v>
      </c>
      <c r="J171" t="s">
        <v>2586</v>
      </c>
      <c r="K171" t="s">
        <v>147</v>
      </c>
      <c r="L171">
        <v>248</v>
      </c>
      <c r="M171">
        <v>2013</v>
      </c>
      <c r="N171">
        <v>2013</v>
      </c>
      <c r="O171" s="2"/>
      <c r="P171" s="2">
        <v>42875</v>
      </c>
      <c r="Q171" t="s">
        <v>132</v>
      </c>
      <c r="R171" t="s">
        <v>2587</v>
      </c>
      <c r="S171" t="s">
        <v>132</v>
      </c>
      <c r="T171" t="s">
        <v>119</v>
      </c>
      <c r="U171" t="s">
        <v>119</v>
      </c>
      <c r="V171" t="s">
        <v>119</v>
      </c>
      <c r="W171">
        <v>0</v>
      </c>
      <c r="X171">
        <v>0</v>
      </c>
    </row>
    <row r="172" spans="1:24" x14ac:dyDescent="0.25">
      <c r="A172">
        <v>50364034</v>
      </c>
      <c r="B172" t="s">
        <v>1061</v>
      </c>
      <c r="C172" t="s">
        <v>1062</v>
      </c>
      <c r="D172" t="s">
        <v>1063</v>
      </c>
      <c r="E172" t="s">
        <v>1064</v>
      </c>
      <c r="F172" t="s">
        <v>120</v>
      </c>
      <c r="G172" t="s">
        <v>120</v>
      </c>
      <c r="H172">
        <v>3</v>
      </c>
      <c r="I172">
        <v>4.45</v>
      </c>
      <c r="J172" t="s">
        <v>1065</v>
      </c>
      <c r="K172" t="s">
        <v>122</v>
      </c>
      <c r="L172">
        <v>215</v>
      </c>
      <c r="M172">
        <v>2020</v>
      </c>
      <c r="O172" s="2">
        <v>44243</v>
      </c>
      <c r="P172" s="2">
        <v>44224</v>
      </c>
      <c r="Q172" t="s">
        <v>119</v>
      </c>
      <c r="R172" t="s">
        <v>119</v>
      </c>
      <c r="S172" t="s">
        <v>125</v>
      </c>
      <c r="T172" t="s">
        <v>119</v>
      </c>
      <c r="U172" t="s">
        <v>119</v>
      </c>
      <c r="V172" t="s">
        <v>119</v>
      </c>
      <c r="W172">
        <v>1</v>
      </c>
      <c r="X172">
        <v>0</v>
      </c>
    </row>
    <row r="173" spans="1:24" x14ac:dyDescent="0.25">
      <c r="A173">
        <v>54082517</v>
      </c>
      <c r="B173" t="s">
        <v>1446</v>
      </c>
      <c r="C173" t="s">
        <v>1447</v>
      </c>
      <c r="D173" t="s">
        <v>1448</v>
      </c>
      <c r="E173" t="s">
        <v>119</v>
      </c>
      <c r="F173" t="s">
        <v>120</v>
      </c>
      <c r="G173" t="s">
        <v>120</v>
      </c>
      <c r="H173">
        <v>0</v>
      </c>
      <c r="I173">
        <v>3.81</v>
      </c>
      <c r="J173" t="s">
        <v>119</v>
      </c>
      <c r="K173" t="s">
        <v>122</v>
      </c>
      <c r="L173">
        <v>198</v>
      </c>
      <c r="M173">
        <v>2020</v>
      </c>
      <c r="O173" s="2"/>
      <c r="P173" s="2">
        <v>44003</v>
      </c>
      <c r="Q173" t="s">
        <v>132</v>
      </c>
      <c r="R173" t="s">
        <v>1449</v>
      </c>
      <c r="S173" t="s">
        <v>132</v>
      </c>
      <c r="T173" t="s">
        <v>119</v>
      </c>
      <c r="U173" t="s">
        <v>119</v>
      </c>
      <c r="V173" t="s">
        <v>119</v>
      </c>
      <c r="W173">
        <v>0</v>
      </c>
      <c r="X173">
        <v>0</v>
      </c>
    </row>
    <row r="174" spans="1:24" x14ac:dyDescent="0.25">
      <c r="A174">
        <v>54839233</v>
      </c>
      <c r="B174" t="s">
        <v>1164</v>
      </c>
      <c r="C174" t="s">
        <v>68</v>
      </c>
      <c r="D174" t="s">
        <v>1165</v>
      </c>
      <c r="E174" t="s">
        <v>119</v>
      </c>
      <c r="F174" t="s">
        <v>120</v>
      </c>
      <c r="G174" t="s">
        <v>120</v>
      </c>
      <c r="H174">
        <v>3</v>
      </c>
      <c r="I174">
        <v>3.99</v>
      </c>
      <c r="J174" t="s">
        <v>1166</v>
      </c>
      <c r="K174" t="s">
        <v>122</v>
      </c>
      <c r="L174">
        <v>61</v>
      </c>
      <c r="M174">
        <v>2020</v>
      </c>
      <c r="O174" s="2">
        <v>44187</v>
      </c>
      <c r="P174" s="2">
        <v>44184</v>
      </c>
      <c r="Q174" t="s">
        <v>119</v>
      </c>
      <c r="R174" t="s">
        <v>119</v>
      </c>
      <c r="S174" t="s">
        <v>125</v>
      </c>
      <c r="T174" t="s">
        <v>1167</v>
      </c>
      <c r="U174" t="s">
        <v>119</v>
      </c>
      <c r="V174" t="s">
        <v>119</v>
      </c>
      <c r="W174">
        <v>1</v>
      </c>
      <c r="X174">
        <v>0</v>
      </c>
    </row>
    <row r="175" spans="1:24" x14ac:dyDescent="0.25">
      <c r="A175">
        <v>4866</v>
      </c>
      <c r="B175" t="s">
        <v>1496</v>
      </c>
      <c r="C175" t="s">
        <v>1497</v>
      </c>
      <c r="D175" t="s">
        <v>1498</v>
      </c>
      <c r="E175" t="s">
        <v>119</v>
      </c>
      <c r="F175" t="s">
        <v>1499</v>
      </c>
      <c r="G175" t="s">
        <v>1500</v>
      </c>
      <c r="H175">
        <v>4</v>
      </c>
      <c r="I175">
        <v>4.1500000000000004</v>
      </c>
      <c r="J175" t="s">
        <v>169</v>
      </c>
      <c r="K175" t="s">
        <v>140</v>
      </c>
      <c r="L175">
        <v>358</v>
      </c>
      <c r="M175">
        <v>2004</v>
      </c>
      <c r="N175">
        <v>1944</v>
      </c>
      <c r="O175" s="2">
        <v>43981</v>
      </c>
      <c r="P175" s="2">
        <v>43963</v>
      </c>
      <c r="Q175" t="s">
        <v>119</v>
      </c>
      <c r="R175" t="s">
        <v>119</v>
      </c>
      <c r="S175" t="s">
        <v>125</v>
      </c>
      <c r="T175" t="s">
        <v>119</v>
      </c>
      <c r="U175" t="s">
        <v>119</v>
      </c>
      <c r="V175" t="s">
        <v>119</v>
      </c>
      <c r="W175">
        <v>1</v>
      </c>
      <c r="X175">
        <v>0</v>
      </c>
    </row>
    <row r="176" spans="1:24" x14ac:dyDescent="0.25">
      <c r="A176">
        <v>769016</v>
      </c>
      <c r="B176" t="s">
        <v>1842</v>
      </c>
      <c r="C176" t="s">
        <v>1843</v>
      </c>
      <c r="D176" t="s">
        <v>1844</v>
      </c>
      <c r="E176" t="s">
        <v>1845</v>
      </c>
      <c r="F176" t="s">
        <v>1846</v>
      </c>
      <c r="G176" t="s">
        <v>1847</v>
      </c>
      <c r="H176">
        <v>5</v>
      </c>
      <c r="I176">
        <v>4.2699999999999996</v>
      </c>
      <c r="J176" t="s">
        <v>1848</v>
      </c>
      <c r="K176" t="s">
        <v>140</v>
      </c>
      <c r="L176">
        <v>286</v>
      </c>
      <c r="M176">
        <v>1999</v>
      </c>
      <c r="N176">
        <v>1980</v>
      </c>
      <c r="O176" s="2">
        <v>43437</v>
      </c>
      <c r="P176" s="2">
        <v>43405</v>
      </c>
      <c r="Q176" t="s">
        <v>1849</v>
      </c>
      <c r="R176" t="s">
        <v>1850</v>
      </c>
      <c r="S176" t="s">
        <v>125</v>
      </c>
      <c r="T176" t="s">
        <v>119</v>
      </c>
      <c r="U176" t="s">
        <v>119</v>
      </c>
      <c r="V176" t="s">
        <v>119</v>
      </c>
      <c r="W176">
        <v>1</v>
      </c>
      <c r="X176">
        <v>0</v>
      </c>
    </row>
    <row r="177" spans="1:24" x14ac:dyDescent="0.25">
      <c r="A177">
        <v>39863499</v>
      </c>
      <c r="B177" t="s">
        <v>1198</v>
      </c>
      <c r="C177" t="s">
        <v>1199</v>
      </c>
      <c r="D177" t="s">
        <v>1200</v>
      </c>
      <c r="E177" t="s">
        <v>119</v>
      </c>
      <c r="F177" t="s">
        <v>120</v>
      </c>
      <c r="G177" t="s">
        <v>120</v>
      </c>
      <c r="H177">
        <v>0</v>
      </c>
      <c r="I177">
        <v>4.37</v>
      </c>
      <c r="J177" t="s">
        <v>519</v>
      </c>
      <c r="K177" t="s">
        <v>147</v>
      </c>
      <c r="L177">
        <v>304</v>
      </c>
      <c r="M177">
        <v>2019</v>
      </c>
      <c r="N177">
        <v>2019</v>
      </c>
      <c r="O177" s="2"/>
      <c r="P177" s="2">
        <v>44182</v>
      </c>
      <c r="Q177" t="s">
        <v>132</v>
      </c>
      <c r="R177" t="s">
        <v>1201</v>
      </c>
      <c r="S177" t="s">
        <v>132</v>
      </c>
      <c r="T177" t="s">
        <v>119</v>
      </c>
      <c r="U177" t="s">
        <v>119</v>
      </c>
      <c r="V177" t="s">
        <v>119</v>
      </c>
      <c r="W177">
        <v>0</v>
      </c>
      <c r="X177">
        <v>0</v>
      </c>
    </row>
    <row r="178" spans="1:24" x14ac:dyDescent="0.25">
      <c r="A178">
        <v>4865</v>
      </c>
      <c r="B178" t="s">
        <v>2655</v>
      </c>
      <c r="C178" t="s">
        <v>1497</v>
      </c>
      <c r="D178" t="s">
        <v>1498</v>
      </c>
      <c r="E178" t="s">
        <v>119</v>
      </c>
      <c r="F178" t="s">
        <v>120</v>
      </c>
      <c r="G178" t="s">
        <v>120</v>
      </c>
      <c r="H178">
        <v>5</v>
      </c>
      <c r="I178">
        <v>4.22</v>
      </c>
      <c r="J178" t="s">
        <v>169</v>
      </c>
      <c r="K178" t="s">
        <v>140</v>
      </c>
      <c r="L178">
        <v>288</v>
      </c>
      <c r="M178">
        <v>1998</v>
      </c>
      <c r="N178">
        <v>1936</v>
      </c>
      <c r="O178" s="2">
        <v>42636</v>
      </c>
      <c r="P178" s="2">
        <v>42626</v>
      </c>
      <c r="Q178" t="s">
        <v>2322</v>
      </c>
      <c r="R178" t="s">
        <v>2656</v>
      </c>
      <c r="S178" t="s">
        <v>125</v>
      </c>
      <c r="T178" t="s">
        <v>119</v>
      </c>
      <c r="U178" t="s">
        <v>119</v>
      </c>
      <c r="V178" t="s">
        <v>119</v>
      </c>
      <c r="W178">
        <v>1</v>
      </c>
      <c r="X178">
        <v>0</v>
      </c>
    </row>
    <row r="179" spans="1:24" x14ac:dyDescent="0.25">
      <c r="A179">
        <v>13425570</v>
      </c>
      <c r="B179" t="s">
        <v>1692</v>
      </c>
      <c r="C179" t="s">
        <v>1466</v>
      </c>
      <c r="D179" t="s">
        <v>1467</v>
      </c>
      <c r="E179" t="s">
        <v>1693</v>
      </c>
      <c r="F179" t="s">
        <v>1694</v>
      </c>
      <c r="G179" t="s">
        <v>1695</v>
      </c>
      <c r="H179">
        <v>0</v>
      </c>
      <c r="I179">
        <v>4.0599999999999996</v>
      </c>
      <c r="J179" t="s">
        <v>381</v>
      </c>
      <c r="K179" t="s">
        <v>273</v>
      </c>
      <c r="L179">
        <v>240</v>
      </c>
      <c r="M179">
        <v>2012</v>
      </c>
      <c r="N179">
        <v>2012</v>
      </c>
      <c r="O179" s="2"/>
      <c r="P179" s="2">
        <v>43857</v>
      </c>
      <c r="Q179" t="s">
        <v>132</v>
      </c>
      <c r="R179" t="s">
        <v>1696</v>
      </c>
      <c r="S179" t="s">
        <v>132</v>
      </c>
      <c r="T179" t="s">
        <v>119</v>
      </c>
      <c r="U179" t="s">
        <v>119</v>
      </c>
      <c r="V179" t="s">
        <v>119</v>
      </c>
      <c r="W179">
        <v>0</v>
      </c>
      <c r="X179">
        <v>0</v>
      </c>
    </row>
    <row r="180" spans="1:24" x14ac:dyDescent="0.25">
      <c r="A180">
        <v>28869391</v>
      </c>
      <c r="B180" t="s">
        <v>2444</v>
      </c>
      <c r="C180" t="s">
        <v>2445</v>
      </c>
      <c r="D180" t="s">
        <v>2446</v>
      </c>
      <c r="E180" t="s">
        <v>119</v>
      </c>
      <c r="F180" t="s">
        <v>2447</v>
      </c>
      <c r="G180" t="s">
        <v>2448</v>
      </c>
      <c r="H180">
        <v>0</v>
      </c>
      <c r="I180">
        <v>3</v>
      </c>
      <c r="J180" t="s">
        <v>2441</v>
      </c>
      <c r="K180" t="s">
        <v>140</v>
      </c>
      <c r="L180">
        <v>192</v>
      </c>
      <c r="M180">
        <v>2015</v>
      </c>
      <c r="O180" s="2"/>
      <c r="P180" s="2">
        <v>42949</v>
      </c>
      <c r="Q180" t="s">
        <v>1983</v>
      </c>
      <c r="R180" t="s">
        <v>2449</v>
      </c>
      <c r="S180" t="s">
        <v>132</v>
      </c>
      <c r="T180" t="s">
        <v>119</v>
      </c>
      <c r="U180" t="s">
        <v>119</v>
      </c>
      <c r="V180" t="s">
        <v>119</v>
      </c>
      <c r="W180">
        <v>1</v>
      </c>
      <c r="X180">
        <v>0</v>
      </c>
    </row>
    <row r="181" spans="1:24" x14ac:dyDescent="0.25">
      <c r="A181">
        <v>28260567</v>
      </c>
      <c r="B181" t="s">
        <v>1768</v>
      </c>
      <c r="C181" t="s">
        <v>1769</v>
      </c>
      <c r="D181" t="s">
        <v>1770</v>
      </c>
      <c r="E181" t="s">
        <v>1771</v>
      </c>
      <c r="F181" t="s">
        <v>1772</v>
      </c>
      <c r="G181" t="s">
        <v>1773</v>
      </c>
      <c r="H181">
        <v>0</v>
      </c>
      <c r="I181">
        <v>3.51</v>
      </c>
      <c r="J181" t="s">
        <v>1774</v>
      </c>
      <c r="K181" t="s">
        <v>147</v>
      </c>
      <c r="L181">
        <v>272</v>
      </c>
      <c r="M181">
        <v>2016</v>
      </c>
      <c r="N181">
        <v>2016</v>
      </c>
      <c r="O181" s="2"/>
      <c r="P181" s="2">
        <v>43790</v>
      </c>
      <c r="Q181" t="s">
        <v>132</v>
      </c>
      <c r="R181" t="s">
        <v>1775</v>
      </c>
      <c r="S181" t="s">
        <v>132</v>
      </c>
      <c r="T181" t="s">
        <v>119</v>
      </c>
      <c r="U181" t="s">
        <v>119</v>
      </c>
      <c r="V181" t="s">
        <v>119</v>
      </c>
      <c r="W181">
        <v>0</v>
      </c>
      <c r="X181">
        <v>0</v>
      </c>
    </row>
    <row r="182" spans="1:24" x14ac:dyDescent="0.25">
      <c r="A182">
        <v>33426</v>
      </c>
      <c r="B182" t="s">
        <v>2963</v>
      </c>
      <c r="C182" t="s">
        <v>2957</v>
      </c>
      <c r="D182" t="s">
        <v>2958</v>
      </c>
      <c r="E182" t="s">
        <v>119</v>
      </c>
      <c r="F182" t="s">
        <v>2964</v>
      </c>
      <c r="G182" t="s">
        <v>2965</v>
      </c>
      <c r="H182">
        <v>0</v>
      </c>
      <c r="I182">
        <v>4.1399999999999997</v>
      </c>
      <c r="J182" t="s">
        <v>2966</v>
      </c>
      <c r="K182" t="s">
        <v>140</v>
      </c>
      <c r="L182">
        <v>359</v>
      </c>
      <c r="M182">
        <v>1995</v>
      </c>
      <c r="N182">
        <v>1994</v>
      </c>
      <c r="O182" s="2"/>
      <c r="P182" s="2">
        <v>42165</v>
      </c>
      <c r="Q182" t="s">
        <v>132</v>
      </c>
      <c r="R182" t="s">
        <v>2967</v>
      </c>
      <c r="S182" t="s">
        <v>132</v>
      </c>
      <c r="T182" t="s">
        <v>119</v>
      </c>
      <c r="U182" t="s">
        <v>119</v>
      </c>
      <c r="V182" t="s">
        <v>119</v>
      </c>
      <c r="W182">
        <v>0</v>
      </c>
      <c r="X182">
        <v>0</v>
      </c>
    </row>
    <row r="183" spans="1:24" x14ac:dyDescent="0.25">
      <c r="A183">
        <v>57841644</v>
      </c>
      <c r="B183" t="s">
        <v>695</v>
      </c>
      <c r="C183" t="s">
        <v>696</v>
      </c>
      <c r="D183" t="s">
        <v>697</v>
      </c>
      <c r="E183" t="s">
        <v>119</v>
      </c>
      <c r="F183" t="s">
        <v>120</v>
      </c>
      <c r="G183" t="s">
        <v>120</v>
      </c>
      <c r="H183">
        <v>0</v>
      </c>
      <c r="I183">
        <v>4.09</v>
      </c>
      <c r="J183" t="s">
        <v>381</v>
      </c>
      <c r="K183" t="s">
        <v>122</v>
      </c>
      <c r="L183">
        <v>304</v>
      </c>
      <c r="M183">
        <v>2021</v>
      </c>
      <c r="O183" s="2"/>
      <c r="P183" s="2">
        <v>44574</v>
      </c>
      <c r="Q183" t="s">
        <v>132</v>
      </c>
      <c r="R183" t="s">
        <v>698</v>
      </c>
      <c r="S183" t="s">
        <v>132</v>
      </c>
      <c r="T183" t="s">
        <v>119</v>
      </c>
      <c r="U183" t="s">
        <v>119</v>
      </c>
      <c r="V183" t="s">
        <v>119</v>
      </c>
      <c r="W183">
        <v>0</v>
      </c>
      <c r="X183">
        <v>0</v>
      </c>
    </row>
    <row r="184" spans="1:24" x14ac:dyDescent="0.25">
      <c r="A184">
        <v>41429805</v>
      </c>
      <c r="B184" t="s">
        <v>1209</v>
      </c>
      <c r="C184" t="s">
        <v>1210</v>
      </c>
      <c r="D184" t="s">
        <v>1211</v>
      </c>
      <c r="E184" t="s">
        <v>1212</v>
      </c>
      <c r="F184" t="s">
        <v>1213</v>
      </c>
      <c r="G184" t="s">
        <v>1214</v>
      </c>
      <c r="H184">
        <v>4</v>
      </c>
      <c r="I184">
        <v>4.29</v>
      </c>
      <c r="J184" t="s">
        <v>210</v>
      </c>
      <c r="K184" t="s">
        <v>147</v>
      </c>
      <c r="L184">
        <v>288</v>
      </c>
      <c r="M184">
        <v>2019</v>
      </c>
      <c r="N184">
        <v>2019</v>
      </c>
      <c r="O184" s="2">
        <v>44093</v>
      </c>
      <c r="P184" s="2">
        <v>44060</v>
      </c>
      <c r="Q184" t="s">
        <v>882</v>
      </c>
      <c r="R184" t="s">
        <v>1215</v>
      </c>
      <c r="S184" t="s">
        <v>125</v>
      </c>
      <c r="T184" t="s">
        <v>119</v>
      </c>
      <c r="U184" t="s">
        <v>119</v>
      </c>
      <c r="V184" t="s">
        <v>119</v>
      </c>
      <c r="W184">
        <v>1</v>
      </c>
      <c r="X184">
        <v>0</v>
      </c>
    </row>
    <row r="185" spans="1:24" x14ac:dyDescent="0.25">
      <c r="A185">
        <v>44595007</v>
      </c>
      <c r="B185" t="s">
        <v>663</v>
      </c>
      <c r="C185" t="s">
        <v>664</v>
      </c>
      <c r="D185" t="s">
        <v>665</v>
      </c>
      <c r="E185" t="s">
        <v>666</v>
      </c>
      <c r="F185" t="s">
        <v>667</v>
      </c>
      <c r="G185" t="s">
        <v>668</v>
      </c>
      <c r="H185">
        <v>4</v>
      </c>
      <c r="I185">
        <v>3.75</v>
      </c>
      <c r="J185" t="s">
        <v>669</v>
      </c>
      <c r="K185" t="s">
        <v>147</v>
      </c>
      <c r="L185">
        <v>300</v>
      </c>
      <c r="M185">
        <v>2019</v>
      </c>
      <c r="N185">
        <v>2019</v>
      </c>
      <c r="O185" s="2">
        <v>44584</v>
      </c>
      <c r="P185" s="2">
        <v>43788</v>
      </c>
      <c r="Q185" t="s">
        <v>119</v>
      </c>
      <c r="R185" t="s">
        <v>119</v>
      </c>
      <c r="S185" t="s">
        <v>125</v>
      </c>
      <c r="T185" t="s">
        <v>670</v>
      </c>
      <c r="U185" t="s">
        <v>119</v>
      </c>
      <c r="V185" t="s">
        <v>119</v>
      </c>
      <c r="W185">
        <v>1</v>
      </c>
      <c r="X185">
        <v>0</v>
      </c>
    </row>
    <row r="186" spans="1:24" x14ac:dyDescent="0.25">
      <c r="A186">
        <v>6759</v>
      </c>
      <c r="B186" t="s">
        <v>529</v>
      </c>
      <c r="C186" t="s">
        <v>296</v>
      </c>
      <c r="D186" t="s">
        <v>297</v>
      </c>
      <c r="E186" t="s">
        <v>119</v>
      </c>
      <c r="F186" t="s">
        <v>120</v>
      </c>
      <c r="G186" t="s">
        <v>120</v>
      </c>
      <c r="H186">
        <v>0</v>
      </c>
      <c r="I186">
        <v>4.26</v>
      </c>
      <c r="J186" t="s">
        <v>527</v>
      </c>
      <c r="K186" t="s">
        <v>140</v>
      </c>
      <c r="L186">
        <v>1088</v>
      </c>
      <c r="M186">
        <v>2005</v>
      </c>
      <c r="N186">
        <v>1996</v>
      </c>
      <c r="O186" s="2"/>
      <c r="P186" s="2">
        <v>44663</v>
      </c>
      <c r="Q186" t="s">
        <v>132</v>
      </c>
      <c r="R186" t="s">
        <v>530</v>
      </c>
      <c r="S186" t="s">
        <v>132</v>
      </c>
      <c r="T186" t="s">
        <v>119</v>
      </c>
      <c r="U186" t="s">
        <v>119</v>
      </c>
      <c r="V186" t="s">
        <v>119</v>
      </c>
      <c r="W186">
        <v>0</v>
      </c>
      <c r="X186">
        <v>0</v>
      </c>
    </row>
    <row r="187" spans="1:24" x14ac:dyDescent="0.25">
      <c r="A187">
        <v>40796176</v>
      </c>
      <c r="B187" t="s">
        <v>927</v>
      </c>
      <c r="C187" t="s">
        <v>928</v>
      </c>
      <c r="D187" t="s">
        <v>929</v>
      </c>
      <c r="E187" t="s">
        <v>119</v>
      </c>
      <c r="F187" t="s">
        <v>930</v>
      </c>
      <c r="G187" t="s">
        <v>931</v>
      </c>
      <c r="H187">
        <v>4</v>
      </c>
      <c r="I187">
        <v>4.29</v>
      </c>
      <c r="J187" t="s">
        <v>751</v>
      </c>
      <c r="K187" t="s">
        <v>147</v>
      </c>
      <c r="L187">
        <v>360</v>
      </c>
      <c r="M187">
        <v>2019</v>
      </c>
      <c r="N187">
        <v>2019</v>
      </c>
      <c r="O187" s="2">
        <v>44425</v>
      </c>
      <c r="P187" s="2">
        <v>44037</v>
      </c>
      <c r="Q187" t="s">
        <v>119</v>
      </c>
      <c r="R187" t="s">
        <v>119</v>
      </c>
      <c r="S187" t="s">
        <v>125</v>
      </c>
      <c r="T187" t="s">
        <v>119</v>
      </c>
      <c r="U187" t="s">
        <v>119</v>
      </c>
      <c r="V187" t="s">
        <v>119</v>
      </c>
      <c r="W187">
        <v>1</v>
      </c>
      <c r="X187">
        <v>0</v>
      </c>
    </row>
    <row r="188" spans="1:24" x14ac:dyDescent="0.25">
      <c r="A188">
        <v>28815</v>
      </c>
      <c r="B188" t="s">
        <v>497</v>
      </c>
      <c r="C188" t="s">
        <v>498</v>
      </c>
      <c r="D188" t="s">
        <v>499</v>
      </c>
      <c r="E188" t="s">
        <v>119</v>
      </c>
      <c r="F188" t="s">
        <v>500</v>
      </c>
      <c r="G188" t="s">
        <v>501</v>
      </c>
      <c r="H188">
        <v>5</v>
      </c>
      <c r="I188">
        <v>4.21</v>
      </c>
      <c r="J188" t="s">
        <v>381</v>
      </c>
      <c r="K188" t="s">
        <v>140</v>
      </c>
      <c r="L188">
        <v>320</v>
      </c>
      <c r="M188">
        <v>2006</v>
      </c>
      <c r="N188">
        <v>1984</v>
      </c>
      <c r="O188" s="2">
        <v>44700</v>
      </c>
      <c r="P188" s="2">
        <v>43557</v>
      </c>
      <c r="Q188" t="s">
        <v>119</v>
      </c>
      <c r="R188" t="s">
        <v>119</v>
      </c>
      <c r="S188" t="s">
        <v>125</v>
      </c>
      <c r="T188" t="s">
        <v>502</v>
      </c>
      <c r="U188" t="s">
        <v>119</v>
      </c>
      <c r="V188" t="s">
        <v>119</v>
      </c>
      <c r="W188">
        <v>1</v>
      </c>
      <c r="X188">
        <v>0</v>
      </c>
    </row>
    <row r="189" spans="1:24" x14ac:dyDescent="0.25">
      <c r="A189">
        <v>29513878</v>
      </c>
      <c r="B189" t="s">
        <v>980</v>
      </c>
      <c r="C189" t="s">
        <v>785</v>
      </c>
      <c r="D189" t="s">
        <v>786</v>
      </c>
      <c r="E189" t="s">
        <v>119</v>
      </c>
      <c r="F189" t="s">
        <v>120</v>
      </c>
      <c r="G189" t="s">
        <v>120</v>
      </c>
      <c r="H189">
        <v>4</v>
      </c>
      <c r="I189">
        <v>4.21</v>
      </c>
      <c r="J189" t="s">
        <v>583</v>
      </c>
      <c r="K189" t="s">
        <v>122</v>
      </c>
      <c r="L189">
        <v>288</v>
      </c>
      <c r="M189">
        <v>2016</v>
      </c>
      <c r="N189">
        <v>2016</v>
      </c>
      <c r="O189" s="2">
        <v>44378</v>
      </c>
      <c r="P189" s="2">
        <v>44075</v>
      </c>
      <c r="Q189" t="s">
        <v>882</v>
      </c>
      <c r="R189" t="s">
        <v>981</v>
      </c>
      <c r="S189" t="s">
        <v>125</v>
      </c>
      <c r="T189" t="s">
        <v>119</v>
      </c>
      <c r="U189" t="s">
        <v>119</v>
      </c>
      <c r="V189" t="s">
        <v>119</v>
      </c>
      <c r="W189">
        <v>1</v>
      </c>
      <c r="X189">
        <v>0</v>
      </c>
    </row>
    <row r="190" spans="1:24" x14ac:dyDescent="0.25">
      <c r="A190">
        <v>35605479</v>
      </c>
      <c r="B190" t="s">
        <v>2476</v>
      </c>
      <c r="C190" t="s">
        <v>2477</v>
      </c>
      <c r="D190" t="s">
        <v>2478</v>
      </c>
      <c r="E190" t="s">
        <v>2479</v>
      </c>
      <c r="F190" t="s">
        <v>120</v>
      </c>
      <c r="G190" t="s">
        <v>120</v>
      </c>
      <c r="H190">
        <v>0</v>
      </c>
      <c r="I190">
        <v>3.88</v>
      </c>
      <c r="J190" t="s">
        <v>119</v>
      </c>
      <c r="K190" t="s">
        <v>122</v>
      </c>
      <c r="L190">
        <v>503</v>
      </c>
      <c r="M190">
        <v>2017</v>
      </c>
      <c r="O190" s="2"/>
      <c r="P190" s="2">
        <v>42925</v>
      </c>
      <c r="Q190" t="s">
        <v>132</v>
      </c>
      <c r="R190" t="s">
        <v>2480</v>
      </c>
      <c r="S190" t="s">
        <v>132</v>
      </c>
      <c r="T190" t="s">
        <v>119</v>
      </c>
      <c r="U190" t="s">
        <v>119</v>
      </c>
      <c r="V190" t="s">
        <v>119</v>
      </c>
      <c r="W190">
        <v>0</v>
      </c>
      <c r="X190">
        <v>0</v>
      </c>
    </row>
    <row r="191" spans="1:24" x14ac:dyDescent="0.25">
      <c r="A191">
        <v>6345193</v>
      </c>
      <c r="B191" t="s">
        <v>2566</v>
      </c>
      <c r="C191" t="s">
        <v>85</v>
      </c>
      <c r="D191" t="s">
        <v>1412</v>
      </c>
      <c r="E191" t="s">
        <v>119</v>
      </c>
      <c r="F191" t="s">
        <v>2567</v>
      </c>
      <c r="G191" t="s">
        <v>2568</v>
      </c>
      <c r="H191">
        <v>5</v>
      </c>
      <c r="I191">
        <v>3.73</v>
      </c>
      <c r="J191" t="s">
        <v>1415</v>
      </c>
      <c r="K191" t="s">
        <v>147</v>
      </c>
      <c r="L191">
        <v>308</v>
      </c>
      <c r="M191">
        <v>2009</v>
      </c>
      <c r="N191">
        <v>2009</v>
      </c>
      <c r="O191" s="2">
        <v>42891</v>
      </c>
      <c r="P191" s="2">
        <v>42871</v>
      </c>
      <c r="Q191" t="s">
        <v>609</v>
      </c>
      <c r="R191" t="s">
        <v>2569</v>
      </c>
      <c r="S191" t="s">
        <v>125</v>
      </c>
      <c r="T191" t="s">
        <v>119</v>
      </c>
      <c r="U191" t="s">
        <v>119</v>
      </c>
      <c r="V191" t="s">
        <v>119</v>
      </c>
      <c r="W191">
        <v>1</v>
      </c>
      <c r="X191">
        <v>0</v>
      </c>
    </row>
    <row r="192" spans="1:24" x14ac:dyDescent="0.25">
      <c r="A192">
        <v>17098</v>
      </c>
      <c r="B192" t="s">
        <v>1529</v>
      </c>
      <c r="C192" t="s">
        <v>901</v>
      </c>
      <c r="D192" t="s">
        <v>902</v>
      </c>
      <c r="E192" t="s">
        <v>119</v>
      </c>
      <c r="F192" t="s">
        <v>1530</v>
      </c>
      <c r="G192" t="s">
        <v>1531</v>
      </c>
      <c r="H192">
        <v>0</v>
      </c>
      <c r="I192">
        <v>3.77</v>
      </c>
      <c r="J192" t="s">
        <v>436</v>
      </c>
      <c r="K192" t="s">
        <v>140</v>
      </c>
      <c r="L192">
        <v>288</v>
      </c>
      <c r="M192">
        <v>2004</v>
      </c>
      <c r="N192">
        <v>2003</v>
      </c>
      <c r="O192" s="2"/>
      <c r="P192" s="2">
        <v>43976</v>
      </c>
      <c r="Q192" t="s">
        <v>132</v>
      </c>
      <c r="R192" t="s">
        <v>1532</v>
      </c>
      <c r="S192" t="s">
        <v>132</v>
      </c>
      <c r="T192" t="s">
        <v>119</v>
      </c>
      <c r="U192" t="s">
        <v>119</v>
      </c>
      <c r="V192" t="s">
        <v>119</v>
      </c>
      <c r="W192">
        <v>0</v>
      </c>
      <c r="X192">
        <v>0</v>
      </c>
    </row>
    <row r="193" spans="1:24" x14ac:dyDescent="0.25">
      <c r="A193">
        <v>38900866</v>
      </c>
      <c r="B193" t="s">
        <v>375</v>
      </c>
      <c r="C193" t="s">
        <v>376</v>
      </c>
      <c r="D193" t="s">
        <v>377</v>
      </c>
      <c r="E193" t="s">
        <v>378</v>
      </c>
      <c r="F193" t="s">
        <v>379</v>
      </c>
      <c r="G193" t="s">
        <v>380</v>
      </c>
      <c r="H193">
        <v>4</v>
      </c>
      <c r="I193">
        <v>4.01</v>
      </c>
      <c r="J193" t="s">
        <v>381</v>
      </c>
      <c r="K193" t="s">
        <v>147</v>
      </c>
      <c r="L193">
        <v>240</v>
      </c>
      <c r="M193">
        <v>2018</v>
      </c>
      <c r="N193">
        <v>2018</v>
      </c>
      <c r="O193" s="2">
        <v>44803</v>
      </c>
      <c r="P193" s="2">
        <v>44207</v>
      </c>
      <c r="Q193" t="s">
        <v>119</v>
      </c>
      <c r="R193" t="s">
        <v>119</v>
      </c>
      <c r="S193" t="s">
        <v>125</v>
      </c>
      <c r="T193" t="s">
        <v>382</v>
      </c>
      <c r="U193" t="s">
        <v>119</v>
      </c>
      <c r="V193" t="s">
        <v>119</v>
      </c>
      <c r="W193">
        <v>1</v>
      </c>
      <c r="X193">
        <v>0</v>
      </c>
    </row>
    <row r="194" spans="1:24" x14ac:dyDescent="0.25">
      <c r="A194">
        <v>56561448</v>
      </c>
      <c r="B194" t="s">
        <v>891</v>
      </c>
      <c r="C194" t="s">
        <v>892</v>
      </c>
      <c r="D194" t="s">
        <v>893</v>
      </c>
      <c r="E194" t="s">
        <v>119</v>
      </c>
      <c r="F194" t="s">
        <v>120</v>
      </c>
      <c r="G194" t="s">
        <v>894</v>
      </c>
      <c r="H194">
        <v>0</v>
      </c>
      <c r="I194">
        <v>4.08</v>
      </c>
      <c r="J194" t="s">
        <v>895</v>
      </c>
      <c r="K194" t="s">
        <v>147</v>
      </c>
      <c r="L194">
        <v>288</v>
      </c>
      <c r="M194">
        <v>2021</v>
      </c>
      <c r="O194" s="2"/>
      <c r="P194" s="2">
        <v>44439</v>
      </c>
      <c r="Q194" t="s">
        <v>132</v>
      </c>
      <c r="R194" t="s">
        <v>896</v>
      </c>
      <c r="S194" t="s">
        <v>132</v>
      </c>
      <c r="T194" t="s">
        <v>119</v>
      </c>
      <c r="U194" t="s">
        <v>119</v>
      </c>
      <c r="V194" t="s">
        <v>119</v>
      </c>
      <c r="W194">
        <v>0</v>
      </c>
      <c r="X194">
        <v>0</v>
      </c>
    </row>
    <row r="195" spans="1:24" x14ac:dyDescent="0.25">
      <c r="A195">
        <v>27189099</v>
      </c>
      <c r="B195" t="s">
        <v>1216</v>
      </c>
      <c r="C195" t="s">
        <v>1217</v>
      </c>
      <c r="D195" t="s">
        <v>1218</v>
      </c>
      <c r="E195" t="s">
        <v>119</v>
      </c>
      <c r="F195" t="s">
        <v>1219</v>
      </c>
      <c r="G195" t="s">
        <v>1220</v>
      </c>
      <c r="H195">
        <v>5</v>
      </c>
      <c r="I195">
        <v>3.95</v>
      </c>
      <c r="J195" t="s">
        <v>201</v>
      </c>
      <c r="K195" t="s">
        <v>147</v>
      </c>
      <c r="L195">
        <v>272</v>
      </c>
      <c r="M195">
        <v>2016</v>
      </c>
      <c r="N195">
        <v>2016</v>
      </c>
      <c r="O195" s="2">
        <v>43229</v>
      </c>
      <c r="P195" s="2">
        <v>43192</v>
      </c>
      <c r="Q195" t="s">
        <v>1221</v>
      </c>
      <c r="R195" t="s">
        <v>1222</v>
      </c>
      <c r="S195" t="s">
        <v>125</v>
      </c>
      <c r="T195" t="s">
        <v>119</v>
      </c>
      <c r="U195" t="s">
        <v>119</v>
      </c>
      <c r="V195" t="s">
        <v>119</v>
      </c>
      <c r="W195">
        <v>1</v>
      </c>
      <c r="X195">
        <v>0</v>
      </c>
    </row>
    <row r="196" spans="1:24" x14ac:dyDescent="0.25">
      <c r="A196">
        <v>6115712</v>
      </c>
      <c r="B196" t="s">
        <v>1282</v>
      </c>
      <c r="C196" t="s">
        <v>1210</v>
      </c>
      <c r="D196" t="s">
        <v>1211</v>
      </c>
      <c r="E196" t="s">
        <v>1283</v>
      </c>
      <c r="F196" t="s">
        <v>1284</v>
      </c>
      <c r="G196" t="s">
        <v>1285</v>
      </c>
      <c r="H196">
        <v>0</v>
      </c>
      <c r="I196">
        <v>4.34</v>
      </c>
      <c r="J196" t="s">
        <v>163</v>
      </c>
      <c r="K196" t="s">
        <v>147</v>
      </c>
      <c r="L196">
        <v>288</v>
      </c>
      <c r="M196">
        <v>2009</v>
      </c>
      <c r="N196">
        <v>2009</v>
      </c>
      <c r="O196" s="2"/>
      <c r="P196" s="2">
        <v>44142</v>
      </c>
      <c r="Q196" t="s">
        <v>132</v>
      </c>
      <c r="R196" t="s">
        <v>1286</v>
      </c>
      <c r="S196" t="s">
        <v>132</v>
      </c>
      <c r="T196" t="s">
        <v>119</v>
      </c>
      <c r="U196" t="s">
        <v>119</v>
      </c>
      <c r="V196" t="s">
        <v>119</v>
      </c>
      <c r="W196">
        <v>0</v>
      </c>
      <c r="X196">
        <v>0</v>
      </c>
    </row>
    <row r="197" spans="1:24" x14ac:dyDescent="0.25">
      <c r="A197">
        <v>4929</v>
      </c>
      <c r="B197" t="s">
        <v>2823</v>
      </c>
      <c r="C197" t="s">
        <v>915</v>
      </c>
      <c r="D197" t="s">
        <v>916</v>
      </c>
      <c r="E197" t="s">
        <v>917</v>
      </c>
      <c r="F197" t="s">
        <v>2824</v>
      </c>
      <c r="G197" t="s">
        <v>2825</v>
      </c>
      <c r="H197">
        <v>5</v>
      </c>
      <c r="I197">
        <v>4.1399999999999997</v>
      </c>
      <c r="J197" t="s">
        <v>2826</v>
      </c>
      <c r="K197" t="s">
        <v>140</v>
      </c>
      <c r="L197">
        <v>467</v>
      </c>
      <c r="M197">
        <v>2006</v>
      </c>
      <c r="N197">
        <v>2002</v>
      </c>
      <c r="O197" s="2"/>
      <c r="P197" s="2">
        <v>42307</v>
      </c>
      <c r="Q197" t="s">
        <v>609</v>
      </c>
      <c r="R197" t="s">
        <v>2827</v>
      </c>
      <c r="S197" t="s">
        <v>125</v>
      </c>
      <c r="T197" t="s">
        <v>119</v>
      </c>
      <c r="U197" t="s">
        <v>119</v>
      </c>
      <c r="V197" t="s">
        <v>119</v>
      </c>
      <c r="W197">
        <v>1</v>
      </c>
      <c r="X197">
        <v>0</v>
      </c>
    </row>
    <row r="198" spans="1:24" x14ac:dyDescent="0.25">
      <c r="A198">
        <v>8167480</v>
      </c>
      <c r="B198" t="s">
        <v>2902</v>
      </c>
      <c r="C198" t="s">
        <v>2903</v>
      </c>
      <c r="D198" t="s">
        <v>2904</v>
      </c>
      <c r="E198" t="s">
        <v>2905</v>
      </c>
      <c r="F198" t="s">
        <v>2906</v>
      </c>
      <c r="G198" t="s">
        <v>2907</v>
      </c>
      <c r="H198">
        <v>4</v>
      </c>
      <c r="I198">
        <v>3.97</v>
      </c>
      <c r="J198" t="s">
        <v>2908</v>
      </c>
      <c r="K198" t="s">
        <v>140</v>
      </c>
      <c r="L198">
        <v>120</v>
      </c>
      <c r="M198">
        <v>2010</v>
      </c>
      <c r="N198">
        <v>2010</v>
      </c>
      <c r="O198" s="2">
        <v>42277</v>
      </c>
      <c r="P198" s="2">
        <v>42379</v>
      </c>
      <c r="Q198" t="s">
        <v>148</v>
      </c>
      <c r="R198" t="s">
        <v>2909</v>
      </c>
      <c r="S198" t="s">
        <v>125</v>
      </c>
      <c r="T198" t="s">
        <v>119</v>
      </c>
      <c r="U198" t="s">
        <v>119</v>
      </c>
      <c r="V198" t="s">
        <v>119</v>
      </c>
      <c r="W198">
        <v>1</v>
      </c>
      <c r="X198">
        <v>0</v>
      </c>
    </row>
    <row r="199" spans="1:24" x14ac:dyDescent="0.25">
      <c r="A199">
        <v>54895722</v>
      </c>
      <c r="B199" t="s">
        <v>784</v>
      </c>
      <c r="C199" t="s">
        <v>785</v>
      </c>
      <c r="D199" t="s">
        <v>786</v>
      </c>
      <c r="E199" t="s">
        <v>119</v>
      </c>
      <c r="F199" t="s">
        <v>787</v>
      </c>
      <c r="G199" t="s">
        <v>788</v>
      </c>
      <c r="H199">
        <v>0</v>
      </c>
      <c r="I199">
        <v>4.34</v>
      </c>
      <c r="J199" t="s">
        <v>163</v>
      </c>
      <c r="K199" t="s">
        <v>147</v>
      </c>
      <c r="L199">
        <v>272</v>
      </c>
      <c r="M199">
        <v>2021</v>
      </c>
      <c r="N199">
        <v>2021</v>
      </c>
      <c r="O199" s="2"/>
      <c r="P199" s="2">
        <v>44531</v>
      </c>
      <c r="Q199" t="s">
        <v>132</v>
      </c>
      <c r="R199" t="s">
        <v>789</v>
      </c>
      <c r="S199" t="s">
        <v>132</v>
      </c>
      <c r="T199" t="s">
        <v>119</v>
      </c>
      <c r="U199" t="s">
        <v>119</v>
      </c>
      <c r="V199" t="s">
        <v>119</v>
      </c>
      <c r="W199">
        <v>0</v>
      </c>
      <c r="X199">
        <v>0</v>
      </c>
    </row>
    <row r="200" spans="1:24" x14ac:dyDescent="0.25">
      <c r="A200">
        <v>38820047</v>
      </c>
      <c r="B200" t="s">
        <v>2173</v>
      </c>
      <c r="C200" t="s">
        <v>915</v>
      </c>
      <c r="D200" t="s">
        <v>916</v>
      </c>
      <c r="E200" t="s">
        <v>2174</v>
      </c>
      <c r="F200" t="s">
        <v>2175</v>
      </c>
      <c r="G200" t="s">
        <v>2176</v>
      </c>
      <c r="H200">
        <v>5</v>
      </c>
      <c r="I200">
        <v>3.9</v>
      </c>
      <c r="J200" t="s">
        <v>920</v>
      </c>
      <c r="K200" t="s">
        <v>147</v>
      </c>
      <c r="L200">
        <v>704</v>
      </c>
      <c r="M200">
        <v>2018</v>
      </c>
      <c r="N200">
        <v>2017</v>
      </c>
      <c r="O200" s="2">
        <v>43472</v>
      </c>
      <c r="P200" s="2">
        <v>43461</v>
      </c>
      <c r="Q200" t="s">
        <v>609</v>
      </c>
      <c r="R200" t="s">
        <v>2177</v>
      </c>
      <c r="S200" t="s">
        <v>125</v>
      </c>
      <c r="T200" t="s">
        <v>119</v>
      </c>
      <c r="U200" t="s">
        <v>119</v>
      </c>
      <c r="V200" t="s">
        <v>119</v>
      </c>
      <c r="W200">
        <v>1</v>
      </c>
      <c r="X200">
        <v>0</v>
      </c>
    </row>
    <row r="201" spans="1:24" x14ac:dyDescent="0.25">
      <c r="A201">
        <v>26070488</v>
      </c>
      <c r="B201" t="s">
        <v>2353</v>
      </c>
      <c r="C201" t="s">
        <v>2354</v>
      </c>
      <c r="D201" t="s">
        <v>2355</v>
      </c>
      <c r="E201" t="s">
        <v>2356</v>
      </c>
      <c r="F201" t="s">
        <v>120</v>
      </c>
      <c r="G201" t="s">
        <v>120</v>
      </c>
      <c r="H201">
        <v>0</v>
      </c>
      <c r="I201">
        <v>3.77</v>
      </c>
      <c r="J201" t="s">
        <v>2357</v>
      </c>
      <c r="K201" t="s">
        <v>122</v>
      </c>
      <c r="L201">
        <v>140</v>
      </c>
      <c r="M201">
        <v>2015</v>
      </c>
      <c r="N201">
        <v>2015</v>
      </c>
      <c r="O201" s="2"/>
      <c r="P201" s="2">
        <v>43104</v>
      </c>
      <c r="Q201" t="s">
        <v>132</v>
      </c>
      <c r="R201" t="s">
        <v>2358</v>
      </c>
      <c r="S201" t="s">
        <v>132</v>
      </c>
      <c r="T201" t="s">
        <v>119</v>
      </c>
      <c r="U201" t="s">
        <v>119</v>
      </c>
      <c r="V201" t="s">
        <v>119</v>
      </c>
      <c r="W201">
        <v>0</v>
      </c>
      <c r="X201">
        <v>0</v>
      </c>
    </row>
    <row r="202" spans="1:24" x14ac:dyDescent="0.25">
      <c r="A202">
        <v>23981272</v>
      </c>
      <c r="B202" t="s">
        <v>1968</v>
      </c>
      <c r="C202" t="s">
        <v>1969</v>
      </c>
      <c r="D202" t="s">
        <v>1970</v>
      </c>
      <c r="E202" t="s">
        <v>119</v>
      </c>
      <c r="F202" t="s">
        <v>120</v>
      </c>
      <c r="G202" t="s">
        <v>120</v>
      </c>
      <c r="H202">
        <v>3</v>
      </c>
      <c r="I202">
        <v>3</v>
      </c>
      <c r="J202" t="s">
        <v>1971</v>
      </c>
      <c r="K202" t="s">
        <v>122</v>
      </c>
      <c r="L202">
        <v>136</v>
      </c>
      <c r="M202">
        <v>2013</v>
      </c>
      <c r="N202">
        <v>2013</v>
      </c>
      <c r="O202" s="2">
        <v>43595</v>
      </c>
      <c r="P202" s="2">
        <v>43566</v>
      </c>
      <c r="Q202" t="s">
        <v>119</v>
      </c>
      <c r="R202" t="s">
        <v>119</v>
      </c>
      <c r="S202" t="s">
        <v>125</v>
      </c>
      <c r="T202" t="s">
        <v>119</v>
      </c>
      <c r="U202" t="s">
        <v>119</v>
      </c>
      <c r="V202" t="s">
        <v>119</v>
      </c>
      <c r="W202">
        <v>1</v>
      </c>
      <c r="X202">
        <v>0</v>
      </c>
    </row>
    <row r="203" spans="1:24" x14ac:dyDescent="0.25">
      <c r="A203">
        <v>27278984</v>
      </c>
      <c r="B203" t="s">
        <v>2812</v>
      </c>
      <c r="C203" t="s">
        <v>2129</v>
      </c>
      <c r="D203" t="s">
        <v>2130</v>
      </c>
      <c r="E203" t="s">
        <v>119</v>
      </c>
      <c r="F203" t="s">
        <v>2813</v>
      </c>
      <c r="G203" t="s">
        <v>2814</v>
      </c>
      <c r="H203">
        <v>3</v>
      </c>
      <c r="I203">
        <v>3.34</v>
      </c>
      <c r="J203" t="s">
        <v>738</v>
      </c>
      <c r="K203" t="s">
        <v>157</v>
      </c>
      <c r="L203">
        <v>128</v>
      </c>
      <c r="M203">
        <v>2015</v>
      </c>
      <c r="N203">
        <v>2013</v>
      </c>
      <c r="O203" s="2">
        <v>42412</v>
      </c>
      <c r="P203" s="2">
        <v>42408</v>
      </c>
      <c r="Q203" t="s">
        <v>609</v>
      </c>
      <c r="R203" t="s">
        <v>2815</v>
      </c>
      <c r="S203" t="s">
        <v>125</v>
      </c>
      <c r="T203" t="s">
        <v>119</v>
      </c>
      <c r="U203" t="s">
        <v>119</v>
      </c>
      <c r="V203" t="s">
        <v>119</v>
      </c>
      <c r="W203">
        <v>1</v>
      </c>
      <c r="X203">
        <v>0</v>
      </c>
    </row>
    <row r="204" spans="1:24" x14ac:dyDescent="0.25">
      <c r="A204">
        <v>277678</v>
      </c>
      <c r="B204" t="s">
        <v>2766</v>
      </c>
      <c r="C204" t="s">
        <v>2129</v>
      </c>
      <c r="D204" t="s">
        <v>2130</v>
      </c>
      <c r="E204" t="s">
        <v>119</v>
      </c>
      <c r="F204" t="s">
        <v>2767</v>
      </c>
      <c r="G204" t="s">
        <v>2768</v>
      </c>
      <c r="H204">
        <v>5</v>
      </c>
      <c r="I204">
        <v>3.63</v>
      </c>
      <c r="J204" t="s">
        <v>2769</v>
      </c>
      <c r="K204" t="s">
        <v>140</v>
      </c>
      <c r="L204">
        <v>196</v>
      </c>
      <c r="M204">
        <v>1997</v>
      </c>
      <c r="N204">
        <v>1995</v>
      </c>
      <c r="O204" s="2"/>
      <c r="P204" s="2">
        <v>42165</v>
      </c>
      <c r="Q204" t="s">
        <v>609</v>
      </c>
      <c r="R204" t="s">
        <v>2770</v>
      </c>
      <c r="S204" t="s">
        <v>125</v>
      </c>
      <c r="T204" t="s">
        <v>119</v>
      </c>
      <c r="U204" t="s">
        <v>119</v>
      </c>
      <c r="V204" t="s">
        <v>119</v>
      </c>
      <c r="W204">
        <v>1</v>
      </c>
      <c r="X204">
        <v>0</v>
      </c>
    </row>
    <row r="205" spans="1:24" x14ac:dyDescent="0.25">
      <c r="A205">
        <v>87302</v>
      </c>
      <c r="B205" t="s">
        <v>2100</v>
      </c>
      <c r="C205" t="s">
        <v>2062</v>
      </c>
      <c r="D205" t="s">
        <v>2063</v>
      </c>
      <c r="E205" t="s">
        <v>119</v>
      </c>
      <c r="F205" t="s">
        <v>120</v>
      </c>
      <c r="G205" t="s">
        <v>120</v>
      </c>
      <c r="H205">
        <v>5</v>
      </c>
      <c r="I205">
        <v>3.93</v>
      </c>
      <c r="J205" t="s">
        <v>156</v>
      </c>
      <c r="K205" t="s">
        <v>140</v>
      </c>
      <c r="L205">
        <v>250</v>
      </c>
      <c r="M205">
        <v>1972</v>
      </c>
      <c r="N205">
        <v>1938</v>
      </c>
      <c r="O205" s="2"/>
      <c r="P205" s="2">
        <v>43508</v>
      </c>
      <c r="Q205" t="s">
        <v>119</v>
      </c>
      <c r="R205" t="s">
        <v>119</v>
      </c>
      <c r="S205" t="s">
        <v>125</v>
      </c>
      <c r="T205" t="s">
        <v>119</v>
      </c>
      <c r="U205" t="s">
        <v>119</v>
      </c>
      <c r="V205" t="s">
        <v>119</v>
      </c>
      <c r="W205">
        <v>1</v>
      </c>
      <c r="X205">
        <v>0</v>
      </c>
    </row>
    <row r="206" spans="1:24" x14ac:dyDescent="0.25">
      <c r="A206">
        <v>577204</v>
      </c>
      <c r="B206" t="s">
        <v>2128</v>
      </c>
      <c r="C206" t="s">
        <v>2129</v>
      </c>
      <c r="D206" t="s">
        <v>2130</v>
      </c>
      <c r="E206" t="s">
        <v>119</v>
      </c>
      <c r="F206" t="s">
        <v>2131</v>
      </c>
      <c r="G206" t="s">
        <v>2132</v>
      </c>
      <c r="H206">
        <v>5</v>
      </c>
      <c r="I206">
        <v>3.86</v>
      </c>
      <c r="J206" t="s">
        <v>2133</v>
      </c>
      <c r="K206" t="s">
        <v>157</v>
      </c>
      <c r="L206">
        <v>352</v>
      </c>
      <c r="M206">
        <v>1978</v>
      </c>
      <c r="N206">
        <v>1972</v>
      </c>
      <c r="O206" s="2"/>
      <c r="P206" s="2">
        <v>43508</v>
      </c>
      <c r="Q206" t="s">
        <v>119</v>
      </c>
      <c r="R206" t="s">
        <v>119</v>
      </c>
      <c r="S206" t="s">
        <v>125</v>
      </c>
      <c r="T206" t="s">
        <v>119</v>
      </c>
      <c r="U206" t="s">
        <v>119</v>
      </c>
      <c r="V206" t="s">
        <v>119</v>
      </c>
      <c r="W206">
        <v>1</v>
      </c>
      <c r="X206">
        <v>0</v>
      </c>
    </row>
    <row r="207" spans="1:24" x14ac:dyDescent="0.25">
      <c r="A207">
        <v>2021790</v>
      </c>
      <c r="B207" t="s">
        <v>150</v>
      </c>
      <c r="C207" t="s">
        <v>151</v>
      </c>
      <c r="D207" t="s">
        <v>152</v>
      </c>
      <c r="E207" t="s">
        <v>153</v>
      </c>
      <c r="F207" t="s">
        <v>154</v>
      </c>
      <c r="G207" t="s">
        <v>155</v>
      </c>
      <c r="H207">
        <v>0</v>
      </c>
      <c r="I207">
        <v>3.93</v>
      </c>
      <c r="J207" t="s">
        <v>156</v>
      </c>
      <c r="K207" t="s">
        <v>157</v>
      </c>
      <c r="L207">
        <v>354</v>
      </c>
      <c r="M207">
        <v>1990</v>
      </c>
      <c r="N207">
        <v>1888</v>
      </c>
      <c r="O207" s="2"/>
      <c r="P207" s="2">
        <v>44942</v>
      </c>
      <c r="Q207" t="s">
        <v>158</v>
      </c>
      <c r="R207" t="s">
        <v>159</v>
      </c>
      <c r="S207" t="s">
        <v>125</v>
      </c>
      <c r="T207" t="s">
        <v>119</v>
      </c>
      <c r="U207" t="s">
        <v>119</v>
      </c>
      <c r="V207" t="s">
        <v>119</v>
      </c>
      <c r="W207">
        <v>1</v>
      </c>
      <c r="X207">
        <v>0</v>
      </c>
    </row>
    <row r="208" spans="1:24" x14ac:dyDescent="0.25">
      <c r="A208">
        <v>147191</v>
      </c>
      <c r="B208" t="s">
        <v>2816</v>
      </c>
      <c r="C208" t="s">
        <v>2129</v>
      </c>
      <c r="D208" t="s">
        <v>2130</v>
      </c>
      <c r="E208" t="s">
        <v>119</v>
      </c>
      <c r="F208" t="s">
        <v>2817</v>
      </c>
      <c r="G208" t="s">
        <v>2818</v>
      </c>
      <c r="H208">
        <v>5</v>
      </c>
      <c r="I208">
        <v>3.98</v>
      </c>
      <c r="J208" t="s">
        <v>156</v>
      </c>
      <c r="K208" t="s">
        <v>157</v>
      </c>
      <c r="L208">
        <v>198</v>
      </c>
      <c r="M208">
        <v>1995</v>
      </c>
      <c r="N208">
        <v>1986</v>
      </c>
      <c r="O208" s="2"/>
      <c r="P208" s="2">
        <v>42165</v>
      </c>
      <c r="Q208" t="s">
        <v>119</v>
      </c>
      <c r="R208" t="s">
        <v>119</v>
      </c>
      <c r="S208" t="s">
        <v>125</v>
      </c>
      <c r="T208" t="s">
        <v>119</v>
      </c>
      <c r="U208" t="s">
        <v>119</v>
      </c>
      <c r="V208" t="s">
        <v>119</v>
      </c>
      <c r="W208">
        <v>1</v>
      </c>
      <c r="X208">
        <v>0</v>
      </c>
    </row>
    <row r="209" spans="1:24" x14ac:dyDescent="0.25">
      <c r="A209">
        <v>1424340</v>
      </c>
      <c r="B209" t="s">
        <v>324</v>
      </c>
      <c r="C209" t="s">
        <v>325</v>
      </c>
      <c r="D209" t="s">
        <v>326</v>
      </c>
      <c r="E209" t="s">
        <v>327</v>
      </c>
      <c r="F209" t="s">
        <v>328</v>
      </c>
      <c r="G209" t="s">
        <v>329</v>
      </c>
      <c r="H209">
        <v>0</v>
      </c>
      <c r="I209">
        <v>3.83</v>
      </c>
      <c r="J209" t="s">
        <v>156</v>
      </c>
      <c r="K209" t="s">
        <v>157</v>
      </c>
      <c r="L209">
        <v>400</v>
      </c>
      <c r="M209">
        <v>2005</v>
      </c>
      <c r="N209">
        <v>1831</v>
      </c>
      <c r="O209" s="2"/>
      <c r="P209" s="2">
        <v>43508</v>
      </c>
      <c r="Q209" t="s">
        <v>119</v>
      </c>
      <c r="R209" t="s">
        <v>119</v>
      </c>
      <c r="S209" t="s">
        <v>125</v>
      </c>
      <c r="T209" t="s">
        <v>119</v>
      </c>
      <c r="U209" t="s">
        <v>119</v>
      </c>
      <c r="V209" t="s">
        <v>119</v>
      </c>
      <c r="W209">
        <v>1</v>
      </c>
      <c r="X209">
        <v>0</v>
      </c>
    </row>
    <row r="210" spans="1:24" x14ac:dyDescent="0.25">
      <c r="A210">
        <v>1988040</v>
      </c>
      <c r="B210" t="s">
        <v>2165</v>
      </c>
      <c r="C210" t="s">
        <v>325</v>
      </c>
      <c r="D210" t="s">
        <v>326</v>
      </c>
      <c r="E210" t="s">
        <v>2166</v>
      </c>
      <c r="F210" t="s">
        <v>2167</v>
      </c>
      <c r="G210" t="s">
        <v>2168</v>
      </c>
      <c r="H210">
        <v>0</v>
      </c>
      <c r="I210">
        <v>3.72</v>
      </c>
      <c r="J210" t="s">
        <v>738</v>
      </c>
      <c r="K210" t="s">
        <v>140</v>
      </c>
      <c r="L210">
        <v>435</v>
      </c>
      <c r="M210">
        <v>1972</v>
      </c>
      <c r="N210">
        <v>1835</v>
      </c>
      <c r="O210" s="2"/>
      <c r="P210" s="2">
        <v>43508</v>
      </c>
      <c r="Q210" t="s">
        <v>119</v>
      </c>
      <c r="R210" t="s">
        <v>119</v>
      </c>
      <c r="S210" t="s">
        <v>125</v>
      </c>
      <c r="T210" t="s">
        <v>119</v>
      </c>
      <c r="U210" t="s">
        <v>119</v>
      </c>
      <c r="V210" t="s">
        <v>119</v>
      </c>
      <c r="W210">
        <v>1</v>
      </c>
      <c r="X210">
        <v>0</v>
      </c>
    </row>
    <row r="211" spans="1:24" x14ac:dyDescent="0.25">
      <c r="A211">
        <v>632416</v>
      </c>
      <c r="B211" t="s">
        <v>2084</v>
      </c>
      <c r="C211" t="s">
        <v>2085</v>
      </c>
      <c r="D211" t="s">
        <v>2086</v>
      </c>
      <c r="E211" t="s">
        <v>2087</v>
      </c>
      <c r="F211" t="s">
        <v>2088</v>
      </c>
      <c r="G211" t="s">
        <v>2089</v>
      </c>
      <c r="H211">
        <v>5</v>
      </c>
      <c r="I211">
        <v>3.99</v>
      </c>
      <c r="J211" t="s">
        <v>2090</v>
      </c>
      <c r="K211" t="s">
        <v>157</v>
      </c>
      <c r="L211">
        <v>285</v>
      </c>
      <c r="M211">
        <v>2002</v>
      </c>
      <c r="N211">
        <v>1932</v>
      </c>
      <c r="O211" s="2"/>
      <c r="P211" s="2">
        <v>43508</v>
      </c>
      <c r="Q211" t="s">
        <v>119</v>
      </c>
      <c r="R211" t="s">
        <v>119</v>
      </c>
      <c r="S211" t="s">
        <v>125</v>
      </c>
      <c r="T211" t="s">
        <v>119</v>
      </c>
      <c r="U211" t="s">
        <v>119</v>
      </c>
      <c r="V211" t="s">
        <v>119</v>
      </c>
      <c r="W211">
        <v>1</v>
      </c>
      <c r="X211">
        <v>0</v>
      </c>
    </row>
    <row r="212" spans="1:24" x14ac:dyDescent="0.25">
      <c r="A212">
        <v>43357528</v>
      </c>
      <c r="B212" t="s">
        <v>1942</v>
      </c>
      <c r="C212" t="s">
        <v>1943</v>
      </c>
      <c r="D212" t="s">
        <v>1944</v>
      </c>
      <c r="E212" t="s">
        <v>119</v>
      </c>
      <c r="F212" t="s">
        <v>120</v>
      </c>
      <c r="G212" t="s">
        <v>120</v>
      </c>
      <c r="H212">
        <v>5</v>
      </c>
      <c r="I212">
        <v>4.17</v>
      </c>
      <c r="J212" t="s">
        <v>1945</v>
      </c>
      <c r="K212" t="s">
        <v>140</v>
      </c>
      <c r="L212">
        <v>187</v>
      </c>
      <c r="M212">
        <v>1985</v>
      </c>
      <c r="N212">
        <v>1942</v>
      </c>
      <c r="O212" s="2"/>
      <c r="P212" s="2">
        <v>43510</v>
      </c>
      <c r="Q212" t="s">
        <v>1946</v>
      </c>
      <c r="R212" t="s">
        <v>1947</v>
      </c>
      <c r="S212" t="s">
        <v>125</v>
      </c>
      <c r="T212" t="s">
        <v>119</v>
      </c>
      <c r="U212" t="s">
        <v>119</v>
      </c>
      <c r="V212" t="s">
        <v>119</v>
      </c>
      <c r="W212">
        <v>1</v>
      </c>
      <c r="X212">
        <v>0</v>
      </c>
    </row>
    <row r="213" spans="1:24" x14ac:dyDescent="0.25">
      <c r="A213">
        <v>1572148</v>
      </c>
      <c r="B213" t="s">
        <v>2101</v>
      </c>
      <c r="C213" t="s">
        <v>2069</v>
      </c>
      <c r="D213" t="s">
        <v>2070</v>
      </c>
      <c r="E213" t="s">
        <v>119</v>
      </c>
      <c r="F213" t="s">
        <v>2102</v>
      </c>
      <c r="G213" t="s">
        <v>2103</v>
      </c>
      <c r="H213">
        <v>5</v>
      </c>
      <c r="I213">
        <v>3.29</v>
      </c>
      <c r="J213" t="s">
        <v>156</v>
      </c>
      <c r="K213" t="s">
        <v>140</v>
      </c>
      <c r="L213">
        <v>314</v>
      </c>
      <c r="M213">
        <v>1973</v>
      </c>
      <c r="N213">
        <v>1963</v>
      </c>
      <c r="O213" s="2"/>
      <c r="P213" s="2">
        <v>43508</v>
      </c>
      <c r="Q213" t="s">
        <v>119</v>
      </c>
      <c r="R213" t="s">
        <v>119</v>
      </c>
      <c r="S213" t="s">
        <v>125</v>
      </c>
      <c r="T213" t="s">
        <v>119</v>
      </c>
      <c r="U213" t="s">
        <v>119</v>
      </c>
      <c r="V213" t="s">
        <v>119</v>
      </c>
      <c r="W213">
        <v>1</v>
      </c>
      <c r="X213">
        <v>0</v>
      </c>
    </row>
    <row r="214" spans="1:24" x14ac:dyDescent="0.25">
      <c r="A214">
        <v>1319521</v>
      </c>
      <c r="B214" t="s">
        <v>611</v>
      </c>
      <c r="C214" t="s">
        <v>612</v>
      </c>
      <c r="D214" t="s">
        <v>613</v>
      </c>
      <c r="E214" t="s">
        <v>119</v>
      </c>
      <c r="F214" t="s">
        <v>614</v>
      </c>
      <c r="G214" t="s">
        <v>615</v>
      </c>
      <c r="H214">
        <v>0</v>
      </c>
      <c r="I214">
        <v>4.0199999999999996</v>
      </c>
      <c r="J214" t="s">
        <v>616</v>
      </c>
      <c r="K214" t="s">
        <v>617</v>
      </c>
      <c r="L214">
        <v>321</v>
      </c>
      <c r="M214">
        <v>1992</v>
      </c>
      <c r="N214">
        <v>1951</v>
      </c>
      <c r="O214" s="2"/>
      <c r="P214" s="2">
        <v>44565</v>
      </c>
      <c r="Q214" t="s">
        <v>609</v>
      </c>
      <c r="R214" t="s">
        <v>618</v>
      </c>
      <c r="S214" t="s">
        <v>125</v>
      </c>
      <c r="T214" t="s">
        <v>119</v>
      </c>
      <c r="U214" t="s">
        <v>119</v>
      </c>
      <c r="V214" t="s">
        <v>119</v>
      </c>
      <c r="W214">
        <v>1</v>
      </c>
      <c r="X214">
        <v>0</v>
      </c>
    </row>
    <row r="215" spans="1:24" x14ac:dyDescent="0.25">
      <c r="A215">
        <v>16144853</v>
      </c>
      <c r="B215" t="s">
        <v>1027</v>
      </c>
      <c r="C215" t="s">
        <v>1028</v>
      </c>
      <c r="D215" t="s">
        <v>1029</v>
      </c>
      <c r="E215" t="s">
        <v>119</v>
      </c>
      <c r="F215" t="s">
        <v>1030</v>
      </c>
      <c r="G215" t="s">
        <v>1031</v>
      </c>
      <c r="H215">
        <v>4</v>
      </c>
      <c r="I215">
        <v>4.1100000000000003</v>
      </c>
      <c r="J215" t="s">
        <v>388</v>
      </c>
      <c r="K215" t="s">
        <v>147</v>
      </c>
      <c r="L215">
        <v>350</v>
      </c>
      <c r="M215">
        <v>2014</v>
      </c>
      <c r="N215">
        <v>2013</v>
      </c>
      <c r="O215" s="2">
        <v>44285</v>
      </c>
      <c r="P215" s="2">
        <v>44115</v>
      </c>
      <c r="Q215" t="s">
        <v>119</v>
      </c>
      <c r="R215" t="s">
        <v>119</v>
      </c>
      <c r="S215" t="s">
        <v>125</v>
      </c>
      <c r="T215" t="s">
        <v>119</v>
      </c>
      <c r="U215" t="s">
        <v>119</v>
      </c>
      <c r="V215" t="s">
        <v>119</v>
      </c>
      <c r="W215">
        <v>1</v>
      </c>
      <c r="X215">
        <v>0</v>
      </c>
    </row>
    <row r="216" spans="1:24" x14ac:dyDescent="0.25">
      <c r="A216">
        <v>4750652</v>
      </c>
      <c r="B216" t="s">
        <v>41</v>
      </c>
      <c r="C216" t="s">
        <v>42</v>
      </c>
      <c r="D216" t="s">
        <v>311</v>
      </c>
      <c r="E216" t="s">
        <v>119</v>
      </c>
      <c r="F216" t="s">
        <v>312</v>
      </c>
      <c r="G216" t="s">
        <v>313</v>
      </c>
      <c r="H216">
        <v>0</v>
      </c>
      <c r="I216">
        <v>3.96</v>
      </c>
      <c r="J216" t="s">
        <v>249</v>
      </c>
      <c r="K216" t="s">
        <v>140</v>
      </c>
      <c r="L216">
        <v>215</v>
      </c>
      <c r="M216">
        <v>2008</v>
      </c>
      <c r="O216" s="2"/>
      <c r="P216" s="2">
        <v>44882</v>
      </c>
      <c r="Q216" t="s">
        <v>132</v>
      </c>
      <c r="R216" t="s">
        <v>314</v>
      </c>
      <c r="S216" t="s">
        <v>132</v>
      </c>
      <c r="T216" t="s">
        <v>119</v>
      </c>
      <c r="U216" t="s">
        <v>119</v>
      </c>
      <c r="V216" t="s">
        <v>119</v>
      </c>
      <c r="W216">
        <v>0</v>
      </c>
      <c r="X216">
        <v>0</v>
      </c>
    </row>
    <row r="217" spans="1:24" x14ac:dyDescent="0.25">
      <c r="A217">
        <v>54271712</v>
      </c>
      <c r="B217" t="s">
        <v>452</v>
      </c>
      <c r="C217" t="s">
        <v>453</v>
      </c>
      <c r="D217" t="s">
        <v>454</v>
      </c>
      <c r="E217" t="s">
        <v>119</v>
      </c>
      <c r="F217" t="s">
        <v>455</v>
      </c>
      <c r="G217" t="s">
        <v>456</v>
      </c>
      <c r="H217">
        <v>0</v>
      </c>
      <c r="I217">
        <v>3.78</v>
      </c>
      <c r="J217" t="s">
        <v>457</v>
      </c>
      <c r="K217" t="s">
        <v>147</v>
      </c>
      <c r="L217">
        <v>256</v>
      </c>
      <c r="M217">
        <v>2021</v>
      </c>
      <c r="O217" s="2"/>
      <c r="P217" s="2">
        <v>44758</v>
      </c>
      <c r="Q217" t="s">
        <v>132</v>
      </c>
      <c r="R217" t="s">
        <v>458</v>
      </c>
      <c r="S217" t="s">
        <v>132</v>
      </c>
      <c r="T217" t="s">
        <v>119</v>
      </c>
      <c r="U217" t="s">
        <v>119</v>
      </c>
      <c r="V217" t="s">
        <v>119</v>
      </c>
      <c r="W217">
        <v>0</v>
      </c>
      <c r="X217">
        <v>0</v>
      </c>
    </row>
    <row r="218" spans="1:24" x14ac:dyDescent="0.25">
      <c r="A218">
        <v>12693642</v>
      </c>
      <c r="B218" t="s">
        <v>2914</v>
      </c>
      <c r="C218" t="s">
        <v>2903</v>
      </c>
      <c r="D218" t="s">
        <v>2904</v>
      </c>
      <c r="E218" t="s">
        <v>119</v>
      </c>
      <c r="F218" t="s">
        <v>2915</v>
      </c>
      <c r="G218" t="s">
        <v>2916</v>
      </c>
      <c r="H218">
        <v>5</v>
      </c>
      <c r="I218">
        <v>4.21</v>
      </c>
      <c r="J218" t="s">
        <v>2900</v>
      </c>
      <c r="K218" t="s">
        <v>140</v>
      </c>
      <c r="L218">
        <v>176</v>
      </c>
      <c r="M218">
        <v>2011</v>
      </c>
      <c r="N218">
        <v>2011</v>
      </c>
      <c r="O218" s="2">
        <v>42285</v>
      </c>
      <c r="P218" s="2">
        <v>42379</v>
      </c>
      <c r="Q218" t="s">
        <v>148</v>
      </c>
      <c r="R218" t="s">
        <v>2917</v>
      </c>
      <c r="S218" t="s">
        <v>125</v>
      </c>
      <c r="T218" t="s">
        <v>119</v>
      </c>
      <c r="U218" t="s">
        <v>119</v>
      </c>
      <c r="V218" t="s">
        <v>119</v>
      </c>
      <c r="W218">
        <v>1</v>
      </c>
      <c r="X218">
        <v>0</v>
      </c>
    </row>
    <row r="219" spans="1:24" x14ac:dyDescent="0.25">
      <c r="A219">
        <v>3120127</v>
      </c>
      <c r="B219" t="s">
        <v>2116</v>
      </c>
      <c r="C219" t="s">
        <v>2117</v>
      </c>
      <c r="D219" t="s">
        <v>2118</v>
      </c>
      <c r="E219" t="s">
        <v>119</v>
      </c>
      <c r="F219" t="s">
        <v>2119</v>
      </c>
      <c r="G219" t="s">
        <v>2120</v>
      </c>
      <c r="H219">
        <v>4</v>
      </c>
      <c r="I219">
        <v>3.55</v>
      </c>
      <c r="J219" t="s">
        <v>2121</v>
      </c>
      <c r="K219" t="s">
        <v>157</v>
      </c>
      <c r="L219">
        <v>190</v>
      </c>
      <c r="M219">
        <v>1971</v>
      </c>
      <c r="N219">
        <v>1968</v>
      </c>
      <c r="O219" s="2"/>
      <c r="P219" s="2">
        <v>43508</v>
      </c>
      <c r="Q219" t="s">
        <v>119</v>
      </c>
      <c r="R219" t="s">
        <v>119</v>
      </c>
      <c r="S219" t="s">
        <v>125</v>
      </c>
      <c r="T219" t="s">
        <v>119</v>
      </c>
      <c r="U219" t="s">
        <v>119</v>
      </c>
      <c r="V219" t="s">
        <v>119</v>
      </c>
      <c r="W219">
        <v>1</v>
      </c>
      <c r="X219">
        <v>0</v>
      </c>
    </row>
    <row r="220" spans="1:24" x14ac:dyDescent="0.25">
      <c r="A220">
        <v>34684622</v>
      </c>
      <c r="B220" t="s">
        <v>26</v>
      </c>
      <c r="C220" t="s">
        <v>491</v>
      </c>
      <c r="D220" t="s">
        <v>492</v>
      </c>
      <c r="E220" t="s">
        <v>119</v>
      </c>
      <c r="F220" t="s">
        <v>1127</v>
      </c>
      <c r="G220" t="s">
        <v>1128</v>
      </c>
      <c r="H220">
        <v>0</v>
      </c>
      <c r="I220">
        <v>4.1900000000000004</v>
      </c>
      <c r="J220" t="s">
        <v>495</v>
      </c>
      <c r="K220" t="s">
        <v>147</v>
      </c>
      <c r="L220">
        <v>600</v>
      </c>
      <c r="M220">
        <v>2017</v>
      </c>
      <c r="N220">
        <v>2017</v>
      </c>
      <c r="O220" s="2"/>
      <c r="P220" s="2">
        <v>44201</v>
      </c>
      <c r="Q220" t="s">
        <v>132</v>
      </c>
      <c r="R220" t="s">
        <v>1129</v>
      </c>
      <c r="S220" t="s">
        <v>132</v>
      </c>
      <c r="T220" t="s">
        <v>119</v>
      </c>
      <c r="U220" t="s">
        <v>119</v>
      </c>
      <c r="V220" t="s">
        <v>119</v>
      </c>
      <c r="W220">
        <v>0</v>
      </c>
      <c r="X220">
        <v>0</v>
      </c>
    </row>
    <row r="221" spans="1:24" x14ac:dyDescent="0.25">
      <c r="A221">
        <v>1453245</v>
      </c>
      <c r="B221" t="s">
        <v>727</v>
      </c>
      <c r="C221" t="s">
        <v>728</v>
      </c>
      <c r="D221" t="s">
        <v>729</v>
      </c>
      <c r="E221" t="s">
        <v>119</v>
      </c>
      <c r="F221" t="s">
        <v>730</v>
      </c>
      <c r="G221" t="s">
        <v>731</v>
      </c>
      <c r="H221">
        <v>0</v>
      </c>
      <c r="I221">
        <v>3.47</v>
      </c>
      <c r="J221" t="s">
        <v>156</v>
      </c>
      <c r="K221" t="s">
        <v>140</v>
      </c>
      <c r="L221">
        <v>157</v>
      </c>
      <c r="M221">
        <v>1973</v>
      </c>
      <c r="N221">
        <v>1963</v>
      </c>
      <c r="O221" s="2">
        <v>42339</v>
      </c>
      <c r="P221" s="2">
        <v>44565</v>
      </c>
      <c r="Q221" t="s">
        <v>119</v>
      </c>
      <c r="R221" t="s">
        <v>119</v>
      </c>
      <c r="S221" t="s">
        <v>125</v>
      </c>
      <c r="T221" t="s">
        <v>119</v>
      </c>
      <c r="U221" t="s">
        <v>119</v>
      </c>
      <c r="V221" t="s">
        <v>119</v>
      </c>
      <c r="W221">
        <v>1</v>
      </c>
      <c r="X221">
        <v>0</v>
      </c>
    </row>
    <row r="222" spans="1:24" x14ac:dyDescent="0.25">
      <c r="A222">
        <v>169560</v>
      </c>
      <c r="B222" t="s">
        <v>2122</v>
      </c>
      <c r="C222" t="s">
        <v>2123</v>
      </c>
      <c r="D222" t="s">
        <v>2124</v>
      </c>
      <c r="E222" t="s">
        <v>119</v>
      </c>
      <c r="F222" t="s">
        <v>2125</v>
      </c>
      <c r="G222" t="s">
        <v>2126</v>
      </c>
      <c r="H222">
        <v>5</v>
      </c>
      <c r="I222">
        <v>3.8</v>
      </c>
      <c r="J222" t="s">
        <v>2127</v>
      </c>
      <c r="K222" t="s">
        <v>140</v>
      </c>
      <c r="L222">
        <v>264</v>
      </c>
      <c r="M222">
        <v>1976</v>
      </c>
      <c r="N222">
        <v>1953</v>
      </c>
      <c r="O222" s="2"/>
      <c r="P222" s="2">
        <v>43508</v>
      </c>
      <c r="Q222" t="s">
        <v>119</v>
      </c>
      <c r="R222" t="s">
        <v>119</v>
      </c>
      <c r="S222" t="s">
        <v>125</v>
      </c>
      <c r="T222" t="s">
        <v>119</v>
      </c>
      <c r="U222" t="s">
        <v>119</v>
      </c>
      <c r="V222" t="s">
        <v>119</v>
      </c>
      <c r="W222">
        <v>1</v>
      </c>
      <c r="X222">
        <v>0</v>
      </c>
    </row>
    <row r="223" spans="1:24" x14ac:dyDescent="0.25">
      <c r="A223">
        <v>2364643</v>
      </c>
      <c r="B223" t="s">
        <v>2156</v>
      </c>
      <c r="C223" t="s">
        <v>2157</v>
      </c>
      <c r="D223" t="s">
        <v>2158</v>
      </c>
      <c r="E223" t="s">
        <v>119</v>
      </c>
      <c r="F223" t="s">
        <v>120</v>
      </c>
      <c r="G223" t="s">
        <v>2159</v>
      </c>
      <c r="H223">
        <v>4</v>
      </c>
      <c r="I223">
        <v>4</v>
      </c>
      <c r="J223" t="s">
        <v>156</v>
      </c>
      <c r="K223" t="s">
        <v>157</v>
      </c>
      <c r="L223">
        <v>237</v>
      </c>
      <c r="M223">
        <v>2001</v>
      </c>
      <c r="N223">
        <v>2001</v>
      </c>
      <c r="O223" s="2"/>
      <c r="P223" s="2">
        <v>43508</v>
      </c>
      <c r="Q223" t="s">
        <v>119</v>
      </c>
      <c r="R223" t="s">
        <v>119</v>
      </c>
      <c r="S223" t="s">
        <v>125</v>
      </c>
      <c r="T223" t="s">
        <v>119</v>
      </c>
      <c r="U223" t="s">
        <v>119</v>
      </c>
      <c r="V223" t="s">
        <v>119</v>
      </c>
      <c r="W223">
        <v>1</v>
      </c>
      <c r="X223">
        <v>0</v>
      </c>
    </row>
    <row r="224" spans="1:24" x14ac:dyDescent="0.25">
      <c r="A224">
        <v>103796</v>
      </c>
      <c r="B224" t="s">
        <v>2097</v>
      </c>
      <c r="C224" t="s">
        <v>2062</v>
      </c>
      <c r="D224" t="s">
        <v>2063</v>
      </c>
      <c r="E224" t="s">
        <v>119</v>
      </c>
      <c r="F224" t="s">
        <v>2098</v>
      </c>
      <c r="G224" t="s">
        <v>2099</v>
      </c>
      <c r="H224">
        <v>4</v>
      </c>
      <c r="I224">
        <v>3.95</v>
      </c>
      <c r="J224" t="s">
        <v>156</v>
      </c>
      <c r="K224" t="s">
        <v>157</v>
      </c>
      <c r="L224">
        <v>256</v>
      </c>
      <c r="M224">
        <v>1972</v>
      </c>
      <c r="N224">
        <v>1946</v>
      </c>
      <c r="O224" s="2"/>
      <c r="P224" s="2">
        <v>43508</v>
      </c>
      <c r="Q224" t="s">
        <v>119</v>
      </c>
      <c r="R224" t="s">
        <v>119</v>
      </c>
      <c r="S224" t="s">
        <v>125</v>
      </c>
      <c r="T224" t="s">
        <v>119</v>
      </c>
      <c r="U224" t="s">
        <v>119</v>
      </c>
      <c r="V224" t="s">
        <v>119</v>
      </c>
      <c r="W224">
        <v>1</v>
      </c>
      <c r="X224">
        <v>0</v>
      </c>
    </row>
    <row r="225" spans="1:24" x14ac:dyDescent="0.25">
      <c r="A225">
        <v>24280</v>
      </c>
      <c r="B225" t="s">
        <v>1144</v>
      </c>
      <c r="C225" t="s">
        <v>1145</v>
      </c>
      <c r="D225" t="s">
        <v>1146</v>
      </c>
      <c r="E225" t="s">
        <v>1147</v>
      </c>
      <c r="F225" t="s">
        <v>120</v>
      </c>
      <c r="G225" t="s">
        <v>120</v>
      </c>
      <c r="H225">
        <v>0</v>
      </c>
      <c r="I225">
        <v>4.1900000000000004</v>
      </c>
      <c r="J225" t="s">
        <v>1148</v>
      </c>
      <c r="K225" t="s">
        <v>157</v>
      </c>
      <c r="L225">
        <v>1463</v>
      </c>
      <c r="M225">
        <v>1987</v>
      </c>
      <c r="N225">
        <v>1862</v>
      </c>
      <c r="O225" s="2"/>
      <c r="P225" s="2">
        <v>44197</v>
      </c>
      <c r="Q225" t="s">
        <v>119</v>
      </c>
      <c r="R225" t="s">
        <v>119</v>
      </c>
      <c r="S225" t="s">
        <v>125</v>
      </c>
      <c r="T225" t="s">
        <v>119</v>
      </c>
      <c r="U225" t="s">
        <v>119</v>
      </c>
      <c r="V225" t="s">
        <v>119</v>
      </c>
      <c r="W225">
        <v>1</v>
      </c>
      <c r="X225">
        <v>0</v>
      </c>
    </row>
    <row r="226" spans="1:24" x14ac:dyDescent="0.25">
      <c r="A226">
        <v>572460</v>
      </c>
      <c r="B226" t="s">
        <v>2061</v>
      </c>
      <c r="C226" t="s">
        <v>2062</v>
      </c>
      <c r="D226" t="s">
        <v>2063</v>
      </c>
      <c r="E226" t="s">
        <v>119</v>
      </c>
      <c r="F226" t="s">
        <v>2064</v>
      </c>
      <c r="G226" t="s">
        <v>2065</v>
      </c>
      <c r="H226">
        <v>5</v>
      </c>
      <c r="I226">
        <v>3.76</v>
      </c>
      <c r="J226" t="s">
        <v>738</v>
      </c>
      <c r="K226" t="s">
        <v>140</v>
      </c>
      <c r="L226">
        <v>224</v>
      </c>
      <c r="M226">
        <v>1972</v>
      </c>
      <c r="N226">
        <v>1964</v>
      </c>
      <c r="O226" s="2"/>
      <c r="P226" s="2">
        <v>43508</v>
      </c>
      <c r="Q226" t="s">
        <v>2066</v>
      </c>
      <c r="R226" t="s">
        <v>2067</v>
      </c>
      <c r="S226" t="s">
        <v>125</v>
      </c>
      <c r="T226" t="s">
        <v>119</v>
      </c>
      <c r="U226" t="s">
        <v>119</v>
      </c>
      <c r="V226" t="s">
        <v>119</v>
      </c>
      <c r="W226">
        <v>1</v>
      </c>
      <c r="X226">
        <v>0</v>
      </c>
    </row>
    <row r="227" spans="1:24" x14ac:dyDescent="0.25">
      <c r="A227">
        <v>13646554</v>
      </c>
      <c r="B227" t="s">
        <v>2091</v>
      </c>
      <c r="C227" t="s">
        <v>2092</v>
      </c>
      <c r="D227" t="s">
        <v>2093</v>
      </c>
      <c r="E227" t="s">
        <v>119</v>
      </c>
      <c r="F227" t="s">
        <v>120</v>
      </c>
      <c r="G227" t="s">
        <v>120</v>
      </c>
      <c r="H227">
        <v>5</v>
      </c>
      <c r="I227">
        <v>4.22</v>
      </c>
      <c r="J227" t="s">
        <v>474</v>
      </c>
      <c r="K227" t="s">
        <v>140</v>
      </c>
      <c r="L227">
        <v>511</v>
      </c>
      <c r="M227">
        <v>1955</v>
      </c>
      <c r="N227">
        <v>1922</v>
      </c>
      <c r="O227" s="2"/>
      <c r="P227" s="2">
        <v>43508</v>
      </c>
      <c r="Q227" t="s">
        <v>119</v>
      </c>
      <c r="R227" t="s">
        <v>119</v>
      </c>
      <c r="S227" t="s">
        <v>125</v>
      </c>
      <c r="T227" t="s">
        <v>119</v>
      </c>
      <c r="U227" t="s">
        <v>119</v>
      </c>
      <c r="V227" t="s">
        <v>119</v>
      </c>
      <c r="W227">
        <v>1</v>
      </c>
      <c r="X227">
        <v>0</v>
      </c>
    </row>
    <row r="228" spans="1:24" x14ac:dyDescent="0.25">
      <c r="A228">
        <v>22155</v>
      </c>
      <c r="B228" t="s">
        <v>1066</v>
      </c>
      <c r="C228" t="s">
        <v>1067</v>
      </c>
      <c r="D228" t="s">
        <v>1068</v>
      </c>
      <c r="E228" t="s">
        <v>119</v>
      </c>
      <c r="F228" t="s">
        <v>1069</v>
      </c>
      <c r="G228" t="s">
        <v>1070</v>
      </c>
      <c r="H228">
        <v>5</v>
      </c>
      <c r="I228">
        <v>4.1900000000000004</v>
      </c>
      <c r="J228" t="s">
        <v>336</v>
      </c>
      <c r="K228" t="s">
        <v>140</v>
      </c>
      <c r="L228">
        <v>272</v>
      </c>
      <c r="M228">
        <v>2006</v>
      </c>
      <c r="N228">
        <v>2005</v>
      </c>
      <c r="O228" s="2">
        <v>44234</v>
      </c>
      <c r="P228" s="2">
        <v>44154</v>
      </c>
      <c r="Q228" t="s">
        <v>119</v>
      </c>
      <c r="R228" t="s">
        <v>119</v>
      </c>
      <c r="S228" t="s">
        <v>125</v>
      </c>
      <c r="T228" t="s">
        <v>119</v>
      </c>
      <c r="U228" t="s">
        <v>119</v>
      </c>
      <c r="V228" t="s">
        <v>119</v>
      </c>
      <c r="W228">
        <v>1</v>
      </c>
      <c r="X228">
        <v>0</v>
      </c>
    </row>
    <row r="229" spans="1:24" x14ac:dyDescent="0.25">
      <c r="A229">
        <v>97411</v>
      </c>
      <c r="B229" t="s">
        <v>2500</v>
      </c>
      <c r="C229" t="s">
        <v>1676</v>
      </c>
      <c r="D229" t="s">
        <v>1677</v>
      </c>
      <c r="E229" t="s">
        <v>2501</v>
      </c>
      <c r="F229" t="s">
        <v>2502</v>
      </c>
      <c r="G229" t="s">
        <v>2503</v>
      </c>
      <c r="H229">
        <v>0</v>
      </c>
      <c r="I229">
        <v>4.3499999999999996</v>
      </c>
      <c r="J229" t="s">
        <v>336</v>
      </c>
      <c r="K229" t="s">
        <v>140</v>
      </c>
      <c r="L229">
        <v>256</v>
      </c>
      <c r="M229">
        <v>2004</v>
      </c>
      <c r="N229">
        <v>65</v>
      </c>
      <c r="O229" s="2"/>
      <c r="P229" s="2">
        <v>42625</v>
      </c>
      <c r="Q229" t="s">
        <v>214</v>
      </c>
      <c r="R229" t="s">
        <v>2504</v>
      </c>
      <c r="S229" t="s">
        <v>132</v>
      </c>
      <c r="T229" t="s">
        <v>119</v>
      </c>
      <c r="U229" t="s">
        <v>119</v>
      </c>
      <c r="V229" t="s">
        <v>119</v>
      </c>
      <c r="W229">
        <v>0</v>
      </c>
      <c r="X229">
        <v>0</v>
      </c>
    </row>
    <row r="230" spans="1:24" x14ac:dyDescent="0.25">
      <c r="A230">
        <v>3071976</v>
      </c>
      <c r="B230" t="s">
        <v>2068</v>
      </c>
      <c r="C230" t="s">
        <v>2069</v>
      </c>
      <c r="D230" t="s">
        <v>2070</v>
      </c>
      <c r="E230" t="s">
        <v>119</v>
      </c>
      <c r="F230" t="s">
        <v>2071</v>
      </c>
      <c r="G230" t="s">
        <v>2072</v>
      </c>
      <c r="H230">
        <v>5</v>
      </c>
      <c r="I230">
        <v>3.54</v>
      </c>
      <c r="J230" t="s">
        <v>156</v>
      </c>
      <c r="K230" t="s">
        <v>140</v>
      </c>
      <c r="M230">
        <v>1993</v>
      </c>
      <c r="N230">
        <v>1967</v>
      </c>
      <c r="O230" s="2"/>
      <c r="P230" s="2">
        <v>43508</v>
      </c>
      <c r="Q230" t="s">
        <v>1946</v>
      </c>
      <c r="R230" t="s">
        <v>2073</v>
      </c>
      <c r="S230" t="s">
        <v>125</v>
      </c>
      <c r="T230" t="s">
        <v>119</v>
      </c>
      <c r="U230" t="s">
        <v>119</v>
      </c>
      <c r="V230" t="s">
        <v>119</v>
      </c>
      <c r="W230">
        <v>1</v>
      </c>
      <c r="X230">
        <v>0</v>
      </c>
    </row>
    <row r="231" spans="1:24" x14ac:dyDescent="0.25">
      <c r="A231">
        <v>22852052</v>
      </c>
      <c r="B231" t="s">
        <v>2450</v>
      </c>
      <c r="C231" t="s">
        <v>2451</v>
      </c>
      <c r="D231" t="s">
        <v>2452</v>
      </c>
      <c r="E231" t="s">
        <v>119</v>
      </c>
      <c r="F231" t="s">
        <v>120</v>
      </c>
      <c r="G231" t="s">
        <v>120</v>
      </c>
      <c r="H231">
        <v>0</v>
      </c>
      <c r="I231">
        <v>3.39</v>
      </c>
      <c r="J231" t="s">
        <v>2453</v>
      </c>
      <c r="K231" t="s">
        <v>122</v>
      </c>
      <c r="L231">
        <v>181</v>
      </c>
      <c r="M231">
        <v>2014</v>
      </c>
      <c r="N231">
        <v>2014</v>
      </c>
      <c r="O231" s="2"/>
      <c r="P231" s="2">
        <v>42949</v>
      </c>
      <c r="Q231" t="s">
        <v>1983</v>
      </c>
      <c r="R231" t="s">
        <v>2454</v>
      </c>
      <c r="S231" t="s">
        <v>132</v>
      </c>
      <c r="T231" t="s">
        <v>119</v>
      </c>
      <c r="U231" t="s">
        <v>119</v>
      </c>
      <c r="V231" t="s">
        <v>119</v>
      </c>
      <c r="W231">
        <v>1</v>
      </c>
      <c r="X231">
        <v>0</v>
      </c>
    </row>
    <row r="232" spans="1:24" x14ac:dyDescent="0.25">
      <c r="A232">
        <v>18744968</v>
      </c>
      <c r="B232" t="s">
        <v>2481</v>
      </c>
      <c r="C232" t="s">
        <v>2482</v>
      </c>
      <c r="D232" t="s">
        <v>2483</v>
      </c>
      <c r="E232" t="s">
        <v>2484</v>
      </c>
      <c r="F232" t="s">
        <v>120</v>
      </c>
      <c r="G232" t="s">
        <v>120</v>
      </c>
      <c r="H232">
        <v>0</v>
      </c>
      <c r="I232">
        <v>3.95</v>
      </c>
      <c r="J232" t="s">
        <v>2485</v>
      </c>
      <c r="K232" t="s">
        <v>122</v>
      </c>
      <c r="L232">
        <v>421</v>
      </c>
      <c r="M232">
        <v>2013</v>
      </c>
      <c r="N232">
        <v>2013</v>
      </c>
      <c r="O232" s="2"/>
      <c r="P232" s="2">
        <v>42923</v>
      </c>
      <c r="Q232" t="s">
        <v>132</v>
      </c>
      <c r="R232" t="s">
        <v>2486</v>
      </c>
      <c r="S232" t="s">
        <v>132</v>
      </c>
      <c r="T232" t="s">
        <v>119</v>
      </c>
      <c r="U232" t="s">
        <v>119</v>
      </c>
      <c r="V232" t="s">
        <v>119</v>
      </c>
      <c r="W232">
        <v>0</v>
      </c>
      <c r="X232">
        <v>0</v>
      </c>
    </row>
    <row r="233" spans="1:24" x14ac:dyDescent="0.25">
      <c r="A233">
        <v>55475594</v>
      </c>
      <c r="B233" t="s">
        <v>590</v>
      </c>
      <c r="C233" t="s">
        <v>586</v>
      </c>
      <c r="D233" t="s">
        <v>587</v>
      </c>
      <c r="E233" t="s">
        <v>588</v>
      </c>
      <c r="F233" t="s">
        <v>120</v>
      </c>
      <c r="G233" t="s">
        <v>120</v>
      </c>
      <c r="H233">
        <v>4</v>
      </c>
      <c r="I233">
        <v>4.21</v>
      </c>
      <c r="J233" t="s">
        <v>119</v>
      </c>
      <c r="K233" t="s">
        <v>122</v>
      </c>
      <c r="M233">
        <v>2020</v>
      </c>
      <c r="O233" s="2"/>
      <c r="P233" s="2">
        <v>44605</v>
      </c>
      <c r="Q233" t="s">
        <v>119</v>
      </c>
      <c r="R233" t="s">
        <v>119</v>
      </c>
      <c r="S233" t="s">
        <v>125</v>
      </c>
      <c r="T233" t="s">
        <v>119</v>
      </c>
      <c r="U233" t="s">
        <v>119</v>
      </c>
      <c r="V233" t="s">
        <v>119</v>
      </c>
      <c r="W233">
        <v>1</v>
      </c>
      <c r="X233">
        <v>0</v>
      </c>
    </row>
    <row r="234" spans="1:24" x14ac:dyDescent="0.25">
      <c r="A234">
        <v>55475589</v>
      </c>
      <c r="B234" t="s">
        <v>591</v>
      </c>
      <c r="C234" t="s">
        <v>586</v>
      </c>
      <c r="D234" t="s">
        <v>587</v>
      </c>
      <c r="E234" t="s">
        <v>588</v>
      </c>
      <c r="F234" t="s">
        <v>120</v>
      </c>
      <c r="G234" t="s">
        <v>120</v>
      </c>
      <c r="H234">
        <v>4</v>
      </c>
      <c r="I234">
        <v>4.21</v>
      </c>
      <c r="J234" t="s">
        <v>119</v>
      </c>
      <c r="K234" t="s">
        <v>122</v>
      </c>
      <c r="M234">
        <v>2020</v>
      </c>
      <c r="O234" s="2"/>
      <c r="P234" s="2">
        <v>44605</v>
      </c>
      <c r="Q234" t="s">
        <v>119</v>
      </c>
      <c r="R234" t="s">
        <v>119</v>
      </c>
      <c r="S234" t="s">
        <v>125</v>
      </c>
      <c r="T234" t="s">
        <v>119</v>
      </c>
      <c r="U234" t="s">
        <v>119</v>
      </c>
      <c r="V234" t="s">
        <v>119</v>
      </c>
      <c r="W234">
        <v>1</v>
      </c>
      <c r="X234">
        <v>0</v>
      </c>
    </row>
    <row r="235" spans="1:24" x14ac:dyDescent="0.25">
      <c r="A235">
        <v>57584629</v>
      </c>
      <c r="B235" t="s">
        <v>585</v>
      </c>
      <c r="C235" t="s">
        <v>586</v>
      </c>
      <c r="D235" t="s">
        <v>587</v>
      </c>
      <c r="E235" t="s">
        <v>588</v>
      </c>
      <c r="F235" t="s">
        <v>120</v>
      </c>
      <c r="G235" t="s">
        <v>120</v>
      </c>
      <c r="H235">
        <v>0</v>
      </c>
      <c r="I235">
        <v>4.67</v>
      </c>
      <c r="J235" t="s">
        <v>119</v>
      </c>
      <c r="K235" t="s">
        <v>122</v>
      </c>
      <c r="M235">
        <v>2021</v>
      </c>
      <c r="O235" s="2"/>
      <c r="P235" s="2">
        <v>44607</v>
      </c>
      <c r="Q235" t="s">
        <v>265</v>
      </c>
      <c r="R235" t="s">
        <v>589</v>
      </c>
      <c r="S235" t="s">
        <v>265</v>
      </c>
      <c r="T235" t="s">
        <v>119</v>
      </c>
      <c r="U235" t="s">
        <v>119</v>
      </c>
      <c r="V235" t="s">
        <v>119</v>
      </c>
      <c r="W235">
        <v>1</v>
      </c>
      <c r="X235">
        <v>0</v>
      </c>
    </row>
    <row r="236" spans="1:24" x14ac:dyDescent="0.25">
      <c r="A236">
        <v>49994260</v>
      </c>
      <c r="B236" t="s">
        <v>1456</v>
      </c>
      <c r="C236" t="s">
        <v>1457</v>
      </c>
      <c r="D236" t="s">
        <v>1458</v>
      </c>
      <c r="E236" t="s">
        <v>119</v>
      </c>
      <c r="F236" t="s">
        <v>120</v>
      </c>
      <c r="G236" t="s">
        <v>120</v>
      </c>
      <c r="H236">
        <v>0</v>
      </c>
      <c r="I236">
        <v>4.0999999999999996</v>
      </c>
      <c r="J236" t="s">
        <v>871</v>
      </c>
      <c r="K236" t="s">
        <v>122</v>
      </c>
      <c r="L236">
        <v>343</v>
      </c>
      <c r="M236">
        <v>2020</v>
      </c>
      <c r="N236">
        <v>2020</v>
      </c>
      <c r="O236" s="2"/>
      <c r="P236" s="2">
        <v>44003</v>
      </c>
      <c r="Q236" t="s">
        <v>132</v>
      </c>
      <c r="R236" t="s">
        <v>1459</v>
      </c>
      <c r="S236" t="s">
        <v>132</v>
      </c>
      <c r="T236" t="s">
        <v>119</v>
      </c>
      <c r="U236" t="s">
        <v>119</v>
      </c>
      <c r="V236" t="s">
        <v>119</v>
      </c>
      <c r="W236">
        <v>0</v>
      </c>
      <c r="X236">
        <v>0</v>
      </c>
    </row>
    <row r="237" spans="1:24" x14ac:dyDescent="0.25">
      <c r="A237">
        <v>277699</v>
      </c>
      <c r="B237" t="s">
        <v>2762</v>
      </c>
      <c r="C237" t="s">
        <v>2129</v>
      </c>
      <c r="D237" t="s">
        <v>2130</v>
      </c>
      <c r="E237" t="s">
        <v>119</v>
      </c>
      <c r="F237" t="s">
        <v>2763</v>
      </c>
      <c r="G237" t="s">
        <v>2764</v>
      </c>
      <c r="H237">
        <v>5</v>
      </c>
      <c r="I237">
        <v>4.1399999999999997</v>
      </c>
      <c r="J237" t="s">
        <v>156</v>
      </c>
      <c r="K237" t="s">
        <v>157</v>
      </c>
      <c r="L237">
        <v>533</v>
      </c>
      <c r="M237">
        <v>1993</v>
      </c>
      <c r="N237">
        <v>1990</v>
      </c>
      <c r="O237" s="2"/>
      <c r="P237" s="2">
        <v>42165</v>
      </c>
      <c r="Q237" t="s">
        <v>609</v>
      </c>
      <c r="R237" t="s">
        <v>2765</v>
      </c>
      <c r="S237" t="s">
        <v>125</v>
      </c>
      <c r="T237" t="s">
        <v>119</v>
      </c>
      <c r="U237" t="s">
        <v>119</v>
      </c>
      <c r="V237" t="s">
        <v>119</v>
      </c>
      <c r="W237">
        <v>1</v>
      </c>
      <c r="X237">
        <v>0</v>
      </c>
    </row>
    <row r="238" spans="1:24" x14ac:dyDescent="0.25">
      <c r="A238">
        <v>50484473</v>
      </c>
      <c r="B238" t="s">
        <v>74</v>
      </c>
      <c r="C238" t="s">
        <v>819</v>
      </c>
      <c r="D238" t="s">
        <v>820</v>
      </c>
      <c r="E238" t="s">
        <v>821</v>
      </c>
      <c r="F238" t="s">
        <v>822</v>
      </c>
      <c r="G238" t="s">
        <v>823</v>
      </c>
      <c r="H238">
        <v>4</v>
      </c>
      <c r="I238">
        <v>4.04</v>
      </c>
      <c r="J238" t="s">
        <v>388</v>
      </c>
      <c r="K238" t="s">
        <v>147</v>
      </c>
      <c r="L238">
        <v>352</v>
      </c>
      <c r="M238">
        <v>2020</v>
      </c>
      <c r="N238">
        <v>2020</v>
      </c>
      <c r="O238" s="2">
        <v>44493</v>
      </c>
      <c r="P238" s="2">
        <v>44465</v>
      </c>
      <c r="Q238" t="s">
        <v>119</v>
      </c>
      <c r="R238" t="s">
        <v>119</v>
      </c>
      <c r="S238" t="s">
        <v>125</v>
      </c>
      <c r="T238" t="s">
        <v>119</v>
      </c>
      <c r="U238" t="s">
        <v>119</v>
      </c>
      <c r="V238" t="s">
        <v>119</v>
      </c>
      <c r="W238">
        <v>1</v>
      </c>
      <c r="X238">
        <v>0</v>
      </c>
    </row>
    <row r="239" spans="1:24" x14ac:dyDescent="0.25">
      <c r="A239">
        <v>28150454</v>
      </c>
      <c r="B239" t="s">
        <v>1737</v>
      </c>
      <c r="C239" t="s">
        <v>1231</v>
      </c>
      <c r="D239" t="s">
        <v>1232</v>
      </c>
      <c r="E239" t="s">
        <v>1738</v>
      </c>
      <c r="F239" t="s">
        <v>120</v>
      </c>
      <c r="G239" t="s">
        <v>120</v>
      </c>
      <c r="H239">
        <v>0</v>
      </c>
      <c r="I239">
        <v>3.87</v>
      </c>
      <c r="J239" t="s">
        <v>1233</v>
      </c>
      <c r="K239" t="s">
        <v>122</v>
      </c>
      <c r="L239">
        <v>208</v>
      </c>
      <c r="M239">
        <v>2016</v>
      </c>
      <c r="N239">
        <v>2016</v>
      </c>
      <c r="O239" s="2"/>
      <c r="P239" s="2">
        <v>43808</v>
      </c>
      <c r="Q239" t="s">
        <v>132</v>
      </c>
      <c r="R239" t="s">
        <v>1739</v>
      </c>
      <c r="S239" t="s">
        <v>132</v>
      </c>
      <c r="T239" t="s">
        <v>119</v>
      </c>
      <c r="U239" t="s">
        <v>119</v>
      </c>
      <c r="V239" t="s">
        <v>119</v>
      </c>
      <c r="W239">
        <v>0</v>
      </c>
      <c r="X239">
        <v>0</v>
      </c>
    </row>
    <row r="240" spans="1:24" x14ac:dyDescent="0.25">
      <c r="A240">
        <v>211099</v>
      </c>
      <c r="B240" t="s">
        <v>2306</v>
      </c>
      <c r="C240" t="s">
        <v>2307</v>
      </c>
      <c r="D240" t="s">
        <v>2308</v>
      </c>
      <c r="E240" t="s">
        <v>119</v>
      </c>
      <c r="F240" t="s">
        <v>2309</v>
      </c>
      <c r="G240" t="s">
        <v>2310</v>
      </c>
      <c r="H240">
        <v>4</v>
      </c>
      <c r="I240">
        <v>3.99</v>
      </c>
      <c r="J240" t="s">
        <v>1330</v>
      </c>
      <c r="K240" t="s">
        <v>140</v>
      </c>
      <c r="L240">
        <v>416</v>
      </c>
      <c r="M240">
        <v>1999</v>
      </c>
      <c r="N240">
        <v>1998</v>
      </c>
      <c r="O240" s="2">
        <v>43336</v>
      </c>
      <c r="P240" s="2">
        <v>43026</v>
      </c>
      <c r="Q240" t="s">
        <v>2311</v>
      </c>
      <c r="R240" t="s">
        <v>2312</v>
      </c>
      <c r="S240" t="s">
        <v>125</v>
      </c>
      <c r="T240" t="s">
        <v>119</v>
      </c>
      <c r="U240" t="s">
        <v>119</v>
      </c>
      <c r="V240" t="s">
        <v>119</v>
      </c>
      <c r="W240">
        <v>1</v>
      </c>
      <c r="X240">
        <v>0</v>
      </c>
    </row>
    <row r="241" spans="1:24" x14ac:dyDescent="0.25">
      <c r="A241">
        <v>53317419</v>
      </c>
      <c r="B241" t="s">
        <v>706</v>
      </c>
      <c r="C241" t="s">
        <v>707</v>
      </c>
      <c r="D241" t="s">
        <v>708</v>
      </c>
      <c r="E241" t="s">
        <v>709</v>
      </c>
      <c r="F241" t="s">
        <v>710</v>
      </c>
      <c r="G241" t="s">
        <v>711</v>
      </c>
      <c r="H241">
        <v>0</v>
      </c>
      <c r="I241">
        <v>3.77</v>
      </c>
      <c r="J241" t="s">
        <v>712</v>
      </c>
      <c r="K241" t="s">
        <v>147</v>
      </c>
      <c r="L241">
        <v>336</v>
      </c>
      <c r="M241">
        <v>2021</v>
      </c>
      <c r="N241">
        <v>2021</v>
      </c>
      <c r="O241" s="2"/>
      <c r="P241" s="2">
        <v>44566</v>
      </c>
      <c r="Q241" t="s">
        <v>132</v>
      </c>
      <c r="R241" t="s">
        <v>713</v>
      </c>
      <c r="S241" t="s">
        <v>132</v>
      </c>
      <c r="T241" t="s">
        <v>119</v>
      </c>
      <c r="U241" t="s">
        <v>119</v>
      </c>
      <c r="V241" t="s">
        <v>119</v>
      </c>
      <c r="W241">
        <v>0</v>
      </c>
      <c r="X241">
        <v>0</v>
      </c>
    </row>
    <row r="242" spans="1:24" x14ac:dyDescent="0.25">
      <c r="A242">
        <v>15704926</v>
      </c>
      <c r="B242" t="s">
        <v>1697</v>
      </c>
      <c r="C242" t="s">
        <v>1698</v>
      </c>
      <c r="D242" t="s">
        <v>1699</v>
      </c>
      <c r="E242" t="s">
        <v>119</v>
      </c>
      <c r="F242" t="s">
        <v>1700</v>
      </c>
      <c r="G242" t="s">
        <v>1701</v>
      </c>
      <c r="H242">
        <v>0</v>
      </c>
      <c r="I242">
        <v>3.88</v>
      </c>
      <c r="J242" t="s">
        <v>1702</v>
      </c>
      <c r="K242" t="s">
        <v>140</v>
      </c>
      <c r="L242">
        <v>68</v>
      </c>
      <c r="M242">
        <v>2012</v>
      </c>
      <c r="N242">
        <v>2012</v>
      </c>
      <c r="O242" s="2"/>
      <c r="P242" s="2">
        <v>43854</v>
      </c>
      <c r="Q242" t="s">
        <v>132</v>
      </c>
      <c r="R242" t="s">
        <v>1703</v>
      </c>
      <c r="S242" t="s">
        <v>132</v>
      </c>
      <c r="T242" t="s">
        <v>119</v>
      </c>
      <c r="U242" t="s">
        <v>119</v>
      </c>
      <c r="V242" t="s">
        <v>119</v>
      </c>
      <c r="W242">
        <v>0</v>
      </c>
      <c r="X242">
        <v>0</v>
      </c>
    </row>
    <row r="243" spans="1:24" x14ac:dyDescent="0.25">
      <c r="A243">
        <v>9762</v>
      </c>
      <c r="B243" t="s">
        <v>1746</v>
      </c>
      <c r="C243" t="s">
        <v>17</v>
      </c>
      <c r="D243" t="s">
        <v>1747</v>
      </c>
      <c r="E243" t="s">
        <v>1748</v>
      </c>
      <c r="F243" t="s">
        <v>1749</v>
      </c>
      <c r="G243" t="s">
        <v>1750</v>
      </c>
      <c r="H243">
        <v>0</v>
      </c>
      <c r="I243">
        <v>4.08</v>
      </c>
      <c r="J243" t="s">
        <v>163</v>
      </c>
      <c r="K243" t="s">
        <v>140</v>
      </c>
      <c r="L243">
        <v>352</v>
      </c>
      <c r="M243">
        <v>2003</v>
      </c>
      <c r="N243">
        <v>2002</v>
      </c>
      <c r="O243" s="2"/>
      <c r="P243" s="2">
        <v>43801</v>
      </c>
      <c r="Q243" t="s">
        <v>132</v>
      </c>
      <c r="R243" t="s">
        <v>1751</v>
      </c>
      <c r="S243" t="s">
        <v>132</v>
      </c>
      <c r="T243" t="s">
        <v>119</v>
      </c>
      <c r="U243" t="s">
        <v>119</v>
      </c>
      <c r="V243" t="s">
        <v>119</v>
      </c>
      <c r="W243">
        <v>0</v>
      </c>
      <c r="X243">
        <v>0</v>
      </c>
    </row>
    <row r="244" spans="1:24" x14ac:dyDescent="0.25">
      <c r="A244">
        <v>38215</v>
      </c>
      <c r="B244" t="s">
        <v>438</v>
      </c>
      <c r="C244" t="s">
        <v>439</v>
      </c>
      <c r="D244" t="s">
        <v>440</v>
      </c>
      <c r="E244" t="s">
        <v>441</v>
      </c>
      <c r="F244" t="s">
        <v>442</v>
      </c>
      <c r="G244" t="s">
        <v>443</v>
      </c>
      <c r="H244">
        <v>0</v>
      </c>
      <c r="I244">
        <v>4.1900000000000004</v>
      </c>
      <c r="J244" t="s">
        <v>444</v>
      </c>
      <c r="K244" t="s">
        <v>147</v>
      </c>
      <c r="L244">
        <v>256</v>
      </c>
      <c r="M244">
        <v>2004</v>
      </c>
      <c r="N244">
        <v>1995</v>
      </c>
      <c r="O244" s="2"/>
      <c r="P244" s="2">
        <v>44767</v>
      </c>
      <c r="Q244" t="s">
        <v>132</v>
      </c>
      <c r="R244" t="s">
        <v>445</v>
      </c>
      <c r="S244" t="s">
        <v>132</v>
      </c>
      <c r="T244" t="s">
        <v>119</v>
      </c>
      <c r="U244" t="s">
        <v>119</v>
      </c>
      <c r="V244" t="s">
        <v>119</v>
      </c>
      <c r="W244">
        <v>0</v>
      </c>
      <c r="X244">
        <v>0</v>
      </c>
    </row>
    <row r="245" spans="1:24" x14ac:dyDescent="0.25">
      <c r="A245">
        <v>11449352</v>
      </c>
      <c r="B245" t="s">
        <v>1955</v>
      </c>
      <c r="C245" t="s">
        <v>1956</v>
      </c>
      <c r="D245" t="s">
        <v>1957</v>
      </c>
      <c r="E245" t="s">
        <v>119</v>
      </c>
      <c r="F245" t="s">
        <v>120</v>
      </c>
      <c r="G245" t="s">
        <v>120</v>
      </c>
      <c r="H245">
        <v>0</v>
      </c>
      <c r="I245">
        <v>4.24</v>
      </c>
      <c r="J245" t="s">
        <v>119</v>
      </c>
      <c r="K245" t="s">
        <v>122</v>
      </c>
      <c r="L245">
        <v>512</v>
      </c>
      <c r="N245">
        <v>1953</v>
      </c>
      <c r="O245" s="2"/>
      <c r="P245" s="2">
        <v>43601</v>
      </c>
      <c r="Q245" t="s">
        <v>132</v>
      </c>
      <c r="R245" t="s">
        <v>1958</v>
      </c>
      <c r="S245" t="s">
        <v>132</v>
      </c>
      <c r="T245" t="s">
        <v>119</v>
      </c>
      <c r="U245" t="s">
        <v>119</v>
      </c>
      <c r="V245" t="s">
        <v>119</v>
      </c>
      <c r="W245">
        <v>0</v>
      </c>
      <c r="X245">
        <v>0</v>
      </c>
    </row>
    <row r="246" spans="1:24" x14ac:dyDescent="0.25">
      <c r="A246">
        <v>58304340</v>
      </c>
      <c r="B246" t="s">
        <v>503</v>
      </c>
      <c r="C246" t="s">
        <v>504</v>
      </c>
      <c r="D246" t="s">
        <v>505</v>
      </c>
      <c r="E246" t="s">
        <v>119</v>
      </c>
      <c r="F246" t="s">
        <v>506</v>
      </c>
      <c r="G246" t="s">
        <v>507</v>
      </c>
      <c r="H246">
        <v>0</v>
      </c>
      <c r="I246">
        <v>4.18</v>
      </c>
      <c r="J246" t="s">
        <v>508</v>
      </c>
      <c r="K246" t="s">
        <v>140</v>
      </c>
      <c r="L246">
        <v>444</v>
      </c>
      <c r="M246">
        <v>2021</v>
      </c>
      <c r="N246">
        <v>2020</v>
      </c>
      <c r="O246" s="2"/>
      <c r="P246" s="2">
        <v>44514</v>
      </c>
      <c r="Q246" t="s">
        <v>132</v>
      </c>
      <c r="R246" t="s">
        <v>509</v>
      </c>
      <c r="S246" t="s">
        <v>132</v>
      </c>
      <c r="T246" t="s">
        <v>119</v>
      </c>
      <c r="U246" t="s">
        <v>119</v>
      </c>
      <c r="V246" t="s">
        <v>119</v>
      </c>
      <c r="W246">
        <v>0</v>
      </c>
      <c r="X246">
        <v>0</v>
      </c>
    </row>
    <row r="247" spans="1:24" x14ac:dyDescent="0.25">
      <c r="A247">
        <v>46021078</v>
      </c>
      <c r="B247" t="s">
        <v>798</v>
      </c>
      <c r="C247" t="s">
        <v>799</v>
      </c>
      <c r="D247" t="s">
        <v>800</v>
      </c>
      <c r="E247" t="s">
        <v>801</v>
      </c>
      <c r="F247" t="s">
        <v>120</v>
      </c>
      <c r="G247" t="s">
        <v>120</v>
      </c>
      <c r="H247">
        <v>0</v>
      </c>
      <c r="I247">
        <v>3.62</v>
      </c>
      <c r="J247" t="s">
        <v>374</v>
      </c>
      <c r="K247" t="s">
        <v>122</v>
      </c>
      <c r="L247">
        <v>224</v>
      </c>
      <c r="M247">
        <v>2019</v>
      </c>
      <c r="O247" s="2"/>
      <c r="P247" s="2">
        <v>44513</v>
      </c>
      <c r="Q247" t="s">
        <v>132</v>
      </c>
      <c r="R247" t="s">
        <v>802</v>
      </c>
      <c r="S247" t="s">
        <v>132</v>
      </c>
      <c r="T247" t="s">
        <v>119</v>
      </c>
      <c r="U247" t="s">
        <v>119</v>
      </c>
      <c r="V247" t="s">
        <v>119</v>
      </c>
      <c r="W247">
        <v>0</v>
      </c>
      <c r="X247">
        <v>0</v>
      </c>
    </row>
    <row r="248" spans="1:24" x14ac:dyDescent="0.25">
      <c r="A248">
        <v>17204679</v>
      </c>
      <c r="B248" t="s">
        <v>260</v>
      </c>
      <c r="C248" t="s">
        <v>261</v>
      </c>
      <c r="D248" t="s">
        <v>262</v>
      </c>
      <c r="E248" t="s">
        <v>263</v>
      </c>
      <c r="F248" t="s">
        <v>120</v>
      </c>
      <c r="G248" t="s">
        <v>120</v>
      </c>
      <c r="H248">
        <v>0</v>
      </c>
      <c r="I248">
        <v>4.37</v>
      </c>
      <c r="J248" t="s">
        <v>264</v>
      </c>
      <c r="K248" t="s">
        <v>122</v>
      </c>
      <c r="L248">
        <v>188</v>
      </c>
      <c r="M248">
        <v>2006</v>
      </c>
      <c r="N248">
        <v>1946</v>
      </c>
      <c r="O248" s="2"/>
      <c r="P248" s="2">
        <v>44722</v>
      </c>
      <c r="Q248" t="s">
        <v>265</v>
      </c>
      <c r="R248" t="s">
        <v>266</v>
      </c>
      <c r="S248" t="s">
        <v>265</v>
      </c>
      <c r="T248" t="s">
        <v>119</v>
      </c>
      <c r="U248" t="s">
        <v>119</v>
      </c>
      <c r="V248" t="s">
        <v>119</v>
      </c>
      <c r="W248">
        <v>1</v>
      </c>
      <c r="X248">
        <v>0</v>
      </c>
    </row>
    <row r="249" spans="1:24" x14ac:dyDescent="0.25">
      <c r="A249">
        <v>4129848</v>
      </c>
      <c r="B249" t="s">
        <v>2801</v>
      </c>
      <c r="C249" t="s">
        <v>2802</v>
      </c>
      <c r="D249" t="s">
        <v>2803</v>
      </c>
      <c r="E249" t="s">
        <v>119</v>
      </c>
      <c r="F249" t="s">
        <v>2804</v>
      </c>
      <c r="G249" t="s">
        <v>2805</v>
      </c>
      <c r="H249">
        <v>0</v>
      </c>
      <c r="I249">
        <v>4.28</v>
      </c>
      <c r="J249" t="s">
        <v>2806</v>
      </c>
      <c r="K249" t="s">
        <v>140</v>
      </c>
      <c r="L249">
        <v>406</v>
      </c>
      <c r="M249">
        <v>2008</v>
      </c>
      <c r="N249">
        <v>2007</v>
      </c>
      <c r="O249" s="2"/>
      <c r="P249" s="2">
        <v>42415</v>
      </c>
      <c r="Q249" t="s">
        <v>214</v>
      </c>
      <c r="R249" t="s">
        <v>2807</v>
      </c>
      <c r="S249" t="s">
        <v>132</v>
      </c>
      <c r="T249" t="s">
        <v>119</v>
      </c>
      <c r="U249" t="s">
        <v>119</v>
      </c>
      <c r="V249" t="s">
        <v>119</v>
      </c>
      <c r="W249">
        <v>0</v>
      </c>
      <c r="X249">
        <v>0</v>
      </c>
    </row>
    <row r="250" spans="1:24" x14ac:dyDescent="0.25">
      <c r="A250">
        <v>15805442</v>
      </c>
      <c r="B250" t="s">
        <v>1154</v>
      </c>
      <c r="C250" t="s">
        <v>234</v>
      </c>
      <c r="D250" t="s">
        <v>235</v>
      </c>
      <c r="E250" t="s">
        <v>119</v>
      </c>
      <c r="F250" t="s">
        <v>1155</v>
      </c>
      <c r="G250" t="s">
        <v>1156</v>
      </c>
      <c r="H250">
        <v>0</v>
      </c>
      <c r="I250">
        <v>3.53</v>
      </c>
      <c r="J250" t="s">
        <v>1157</v>
      </c>
      <c r="K250" t="s">
        <v>147</v>
      </c>
      <c r="L250">
        <v>273</v>
      </c>
      <c r="M250">
        <v>2013</v>
      </c>
      <c r="N250">
        <v>2013</v>
      </c>
      <c r="O250" s="2"/>
      <c r="P250" s="2">
        <v>44192</v>
      </c>
      <c r="Q250" t="s">
        <v>132</v>
      </c>
      <c r="R250" t="s">
        <v>1158</v>
      </c>
      <c r="S250" t="s">
        <v>132</v>
      </c>
      <c r="T250" t="s">
        <v>119</v>
      </c>
      <c r="U250" t="s">
        <v>119</v>
      </c>
      <c r="V250" t="s">
        <v>119</v>
      </c>
      <c r="W250">
        <v>0</v>
      </c>
      <c r="X250">
        <v>0</v>
      </c>
    </row>
    <row r="251" spans="1:24" x14ac:dyDescent="0.25">
      <c r="A251">
        <v>13589182</v>
      </c>
      <c r="B251" t="s">
        <v>1886</v>
      </c>
      <c r="C251" t="s">
        <v>1887</v>
      </c>
      <c r="D251" t="s">
        <v>1888</v>
      </c>
      <c r="E251" t="s">
        <v>119</v>
      </c>
      <c r="F251" t="s">
        <v>1889</v>
      </c>
      <c r="G251" t="s">
        <v>1890</v>
      </c>
      <c r="H251">
        <v>0</v>
      </c>
      <c r="I251">
        <v>4.26</v>
      </c>
      <c r="J251" t="s">
        <v>1247</v>
      </c>
      <c r="K251" t="s">
        <v>147</v>
      </c>
      <c r="L251">
        <v>318</v>
      </c>
      <c r="M251">
        <v>2012</v>
      </c>
      <c r="N251">
        <v>2012</v>
      </c>
      <c r="O251" s="2"/>
      <c r="P251" s="2">
        <v>43707</v>
      </c>
      <c r="Q251" t="s">
        <v>132</v>
      </c>
      <c r="R251" t="s">
        <v>1891</v>
      </c>
      <c r="S251" t="s">
        <v>132</v>
      </c>
      <c r="T251" t="s">
        <v>119</v>
      </c>
      <c r="U251" t="s">
        <v>119</v>
      </c>
      <c r="V251" t="s">
        <v>119</v>
      </c>
      <c r="W251">
        <v>0</v>
      </c>
      <c r="X251">
        <v>0</v>
      </c>
    </row>
    <row r="252" spans="1:24" x14ac:dyDescent="0.25">
      <c r="A252">
        <v>27485</v>
      </c>
      <c r="B252" t="s">
        <v>1043</v>
      </c>
      <c r="C252" t="s">
        <v>1044</v>
      </c>
      <c r="D252" t="s">
        <v>1045</v>
      </c>
      <c r="E252" t="s">
        <v>1046</v>
      </c>
      <c r="F252" t="s">
        <v>1047</v>
      </c>
      <c r="G252" t="s">
        <v>1048</v>
      </c>
      <c r="H252">
        <v>0</v>
      </c>
      <c r="I252">
        <v>4.17</v>
      </c>
      <c r="J252" t="s">
        <v>317</v>
      </c>
      <c r="K252" t="s">
        <v>147</v>
      </c>
      <c r="L252">
        <v>272</v>
      </c>
      <c r="M252">
        <v>2006</v>
      </c>
      <c r="N252">
        <v>2006</v>
      </c>
      <c r="O252" s="2"/>
      <c r="P252" s="2">
        <v>44257</v>
      </c>
      <c r="Q252" t="s">
        <v>132</v>
      </c>
      <c r="R252" t="s">
        <v>1049</v>
      </c>
      <c r="S252" t="s">
        <v>132</v>
      </c>
      <c r="T252" t="s">
        <v>119</v>
      </c>
      <c r="U252" t="s">
        <v>119</v>
      </c>
      <c r="V252" t="s">
        <v>119</v>
      </c>
      <c r="W252">
        <v>0</v>
      </c>
      <c r="X252">
        <v>0</v>
      </c>
    </row>
    <row r="253" spans="1:24" x14ac:dyDescent="0.25">
      <c r="A253">
        <v>32994</v>
      </c>
      <c r="B253" t="s">
        <v>2662</v>
      </c>
      <c r="C253" t="s">
        <v>2663</v>
      </c>
      <c r="D253" t="s">
        <v>2664</v>
      </c>
      <c r="E253" t="s">
        <v>119</v>
      </c>
      <c r="F253" t="s">
        <v>2665</v>
      </c>
      <c r="G253" t="s">
        <v>2666</v>
      </c>
      <c r="H253">
        <v>0</v>
      </c>
      <c r="I253">
        <v>4.09</v>
      </c>
      <c r="J253" t="s">
        <v>210</v>
      </c>
      <c r="K253" t="s">
        <v>140</v>
      </c>
      <c r="L253">
        <v>336</v>
      </c>
      <c r="M253">
        <v>2001</v>
      </c>
      <c r="N253">
        <v>1988</v>
      </c>
      <c r="O253" s="2"/>
      <c r="P253" s="2">
        <v>42626</v>
      </c>
      <c r="Q253" t="s">
        <v>132</v>
      </c>
      <c r="R253" t="s">
        <v>2667</v>
      </c>
      <c r="S253" t="s">
        <v>132</v>
      </c>
      <c r="T253" t="s">
        <v>119</v>
      </c>
      <c r="U253" t="s">
        <v>119</v>
      </c>
      <c r="V253" t="s">
        <v>119</v>
      </c>
      <c r="W253">
        <v>0</v>
      </c>
      <c r="X253">
        <v>0</v>
      </c>
    </row>
    <row r="254" spans="1:24" x14ac:dyDescent="0.25">
      <c r="A254">
        <v>39286958</v>
      </c>
      <c r="B254" t="s">
        <v>1807</v>
      </c>
      <c r="C254" t="s">
        <v>1808</v>
      </c>
      <c r="D254" t="s">
        <v>1809</v>
      </c>
      <c r="E254" t="s">
        <v>119</v>
      </c>
      <c r="F254" t="s">
        <v>120</v>
      </c>
      <c r="G254" t="s">
        <v>120</v>
      </c>
      <c r="H254">
        <v>0</v>
      </c>
      <c r="I254">
        <v>4</v>
      </c>
      <c r="J254" t="s">
        <v>1148</v>
      </c>
      <c r="K254" t="s">
        <v>122</v>
      </c>
      <c r="L254">
        <v>320</v>
      </c>
      <c r="M254">
        <v>2018</v>
      </c>
      <c r="N254">
        <v>2017</v>
      </c>
      <c r="O254" s="2"/>
      <c r="P254" s="2">
        <v>43768</v>
      </c>
      <c r="Q254" t="s">
        <v>132</v>
      </c>
      <c r="R254" t="s">
        <v>1810</v>
      </c>
      <c r="S254" t="s">
        <v>132</v>
      </c>
      <c r="T254" t="s">
        <v>119</v>
      </c>
      <c r="U254" t="s">
        <v>119</v>
      </c>
      <c r="V254" t="s">
        <v>119</v>
      </c>
      <c r="W254">
        <v>0</v>
      </c>
      <c r="X254">
        <v>0</v>
      </c>
    </row>
    <row r="255" spans="1:24" x14ac:dyDescent="0.25">
      <c r="A255">
        <v>34962306</v>
      </c>
      <c r="B255" t="s">
        <v>577</v>
      </c>
      <c r="C255" t="s">
        <v>578</v>
      </c>
      <c r="D255" t="s">
        <v>579</v>
      </c>
      <c r="E255" t="s">
        <v>580</v>
      </c>
      <c r="F255" t="s">
        <v>581</v>
      </c>
      <c r="G255" t="s">
        <v>582</v>
      </c>
      <c r="H255">
        <v>4</v>
      </c>
      <c r="I255">
        <v>3.82</v>
      </c>
      <c r="J255" t="s">
        <v>583</v>
      </c>
      <c r="K255" t="s">
        <v>147</v>
      </c>
      <c r="L255">
        <v>304</v>
      </c>
      <c r="M255">
        <v>2017</v>
      </c>
      <c r="N255">
        <v>2017</v>
      </c>
      <c r="O255" s="2">
        <v>44611</v>
      </c>
      <c r="P255" s="2">
        <v>44600</v>
      </c>
      <c r="Q255" t="s">
        <v>119</v>
      </c>
      <c r="R255" t="s">
        <v>119</v>
      </c>
      <c r="S255" t="s">
        <v>125</v>
      </c>
      <c r="T255" t="s">
        <v>584</v>
      </c>
      <c r="U255" t="s">
        <v>119</v>
      </c>
      <c r="V255" t="s">
        <v>119</v>
      </c>
      <c r="W255">
        <v>1</v>
      </c>
      <c r="X255">
        <v>0</v>
      </c>
    </row>
    <row r="256" spans="1:24" x14ac:dyDescent="0.25">
      <c r="A256">
        <v>25505641</v>
      </c>
      <c r="B256" t="s">
        <v>2522</v>
      </c>
      <c r="C256" t="s">
        <v>2523</v>
      </c>
      <c r="D256" t="s">
        <v>2524</v>
      </c>
      <c r="E256" t="s">
        <v>2525</v>
      </c>
      <c r="F256" t="s">
        <v>120</v>
      </c>
      <c r="G256" t="s">
        <v>120</v>
      </c>
      <c r="H256">
        <v>0</v>
      </c>
      <c r="I256">
        <v>4.26</v>
      </c>
      <c r="J256" t="s">
        <v>2526</v>
      </c>
      <c r="K256" t="s">
        <v>122</v>
      </c>
      <c r="L256">
        <v>216</v>
      </c>
      <c r="M256">
        <v>2015</v>
      </c>
      <c r="N256">
        <v>180</v>
      </c>
      <c r="O256" s="2"/>
      <c r="P256" s="2">
        <v>42416</v>
      </c>
      <c r="Q256" t="s">
        <v>214</v>
      </c>
      <c r="R256" t="s">
        <v>2527</v>
      </c>
      <c r="S256" t="s">
        <v>132</v>
      </c>
      <c r="T256" t="s">
        <v>119</v>
      </c>
      <c r="U256" t="s">
        <v>119</v>
      </c>
      <c r="V256" t="s">
        <v>119</v>
      </c>
      <c r="W256">
        <v>0</v>
      </c>
      <c r="X256">
        <v>0</v>
      </c>
    </row>
    <row r="257" spans="1:24" x14ac:dyDescent="0.25">
      <c r="A257">
        <v>33652490</v>
      </c>
      <c r="B257" t="s">
        <v>1640</v>
      </c>
      <c r="C257" t="s">
        <v>915</v>
      </c>
      <c r="D257" t="s">
        <v>916</v>
      </c>
      <c r="E257" t="s">
        <v>1641</v>
      </c>
      <c r="F257" t="s">
        <v>120</v>
      </c>
      <c r="G257" t="s">
        <v>120</v>
      </c>
      <c r="H257">
        <v>4</v>
      </c>
      <c r="I257">
        <v>3.76</v>
      </c>
      <c r="J257" t="s">
        <v>1642</v>
      </c>
      <c r="K257" t="s">
        <v>122</v>
      </c>
      <c r="L257">
        <v>240</v>
      </c>
      <c r="M257">
        <v>2017</v>
      </c>
      <c r="N257">
        <v>2014</v>
      </c>
      <c r="O257" s="2">
        <v>43920</v>
      </c>
      <c r="P257" s="2">
        <v>43911</v>
      </c>
      <c r="Q257" t="s">
        <v>119</v>
      </c>
      <c r="R257" t="s">
        <v>119</v>
      </c>
      <c r="S257" t="s">
        <v>125</v>
      </c>
      <c r="T257" t="s">
        <v>1643</v>
      </c>
      <c r="U257" t="s">
        <v>119</v>
      </c>
      <c r="V257" t="s">
        <v>119</v>
      </c>
      <c r="W257">
        <v>1</v>
      </c>
      <c r="X257">
        <v>0</v>
      </c>
    </row>
    <row r="258" spans="1:24" x14ac:dyDescent="0.25">
      <c r="A258">
        <v>14836</v>
      </c>
      <c r="B258" t="s">
        <v>1704</v>
      </c>
      <c r="C258" t="s">
        <v>620</v>
      </c>
      <c r="D258" t="s">
        <v>621</v>
      </c>
      <c r="E258" t="s">
        <v>119</v>
      </c>
      <c r="F258" t="s">
        <v>1705</v>
      </c>
      <c r="G258" t="s">
        <v>1706</v>
      </c>
      <c r="H258">
        <v>0</v>
      </c>
      <c r="I258">
        <v>3.98</v>
      </c>
      <c r="J258" t="s">
        <v>436</v>
      </c>
      <c r="K258" t="s">
        <v>140</v>
      </c>
      <c r="L258">
        <v>647</v>
      </c>
      <c r="M258">
        <v>1995</v>
      </c>
      <c r="N258">
        <v>1981</v>
      </c>
      <c r="O258" s="2"/>
      <c r="P258" s="2">
        <v>43844</v>
      </c>
      <c r="Q258" t="s">
        <v>132</v>
      </c>
      <c r="R258" t="s">
        <v>1707</v>
      </c>
      <c r="S258" t="s">
        <v>132</v>
      </c>
      <c r="T258" t="s">
        <v>119</v>
      </c>
      <c r="U258" t="s">
        <v>119</v>
      </c>
      <c r="V258" t="s">
        <v>119</v>
      </c>
      <c r="W258">
        <v>0</v>
      </c>
      <c r="X258">
        <v>0</v>
      </c>
    </row>
    <row r="259" spans="1:24" x14ac:dyDescent="0.25">
      <c r="A259">
        <v>5494321</v>
      </c>
      <c r="B259" t="s">
        <v>216</v>
      </c>
      <c r="C259" t="s">
        <v>217</v>
      </c>
      <c r="D259" t="s">
        <v>218</v>
      </c>
      <c r="E259" t="s">
        <v>119</v>
      </c>
      <c r="F259" t="s">
        <v>120</v>
      </c>
      <c r="G259" t="s">
        <v>120</v>
      </c>
      <c r="H259">
        <v>0</v>
      </c>
      <c r="I259">
        <v>4.09</v>
      </c>
      <c r="J259" t="s">
        <v>210</v>
      </c>
      <c r="K259" t="s">
        <v>122</v>
      </c>
      <c r="L259">
        <v>288</v>
      </c>
      <c r="M259">
        <v>2006</v>
      </c>
      <c r="N259">
        <v>2006</v>
      </c>
      <c r="O259" s="2"/>
      <c r="P259" s="2">
        <v>44204</v>
      </c>
      <c r="Q259" t="s">
        <v>132</v>
      </c>
      <c r="R259" t="s">
        <v>219</v>
      </c>
      <c r="S259" t="s">
        <v>132</v>
      </c>
      <c r="T259" t="s">
        <v>119</v>
      </c>
      <c r="U259" t="s">
        <v>119</v>
      </c>
      <c r="V259" t="s">
        <v>119</v>
      </c>
      <c r="W259">
        <v>0</v>
      </c>
      <c r="X259">
        <v>0</v>
      </c>
    </row>
    <row r="260" spans="1:24" x14ac:dyDescent="0.25">
      <c r="A260">
        <v>26571642</v>
      </c>
      <c r="B260" t="s">
        <v>2257</v>
      </c>
      <c r="C260" t="s">
        <v>2258</v>
      </c>
      <c r="D260" t="s">
        <v>2259</v>
      </c>
      <c r="E260" t="s">
        <v>2260</v>
      </c>
      <c r="F260" t="s">
        <v>2261</v>
      </c>
      <c r="G260" t="s">
        <v>2262</v>
      </c>
      <c r="H260">
        <v>0</v>
      </c>
      <c r="I260">
        <v>0</v>
      </c>
      <c r="J260" t="s">
        <v>258</v>
      </c>
      <c r="K260" t="s">
        <v>147</v>
      </c>
      <c r="L260">
        <v>304</v>
      </c>
      <c r="M260">
        <v>2016</v>
      </c>
      <c r="N260">
        <v>2016</v>
      </c>
      <c r="O260" s="2"/>
      <c r="P260" s="2">
        <v>42744</v>
      </c>
      <c r="Q260" t="s">
        <v>132</v>
      </c>
      <c r="R260" t="s">
        <v>2263</v>
      </c>
      <c r="S260" t="s">
        <v>132</v>
      </c>
      <c r="T260" t="s">
        <v>119</v>
      </c>
      <c r="U260" t="s">
        <v>119</v>
      </c>
      <c r="V260" t="s">
        <v>119</v>
      </c>
      <c r="W260">
        <v>0</v>
      </c>
      <c r="X260">
        <v>0</v>
      </c>
    </row>
    <row r="261" spans="1:24" x14ac:dyDescent="0.25">
      <c r="A261">
        <v>887400</v>
      </c>
      <c r="B261" t="s">
        <v>2104</v>
      </c>
      <c r="C261" t="s">
        <v>2069</v>
      </c>
      <c r="D261" t="s">
        <v>2070</v>
      </c>
      <c r="E261" t="s">
        <v>119</v>
      </c>
      <c r="F261" t="s">
        <v>2105</v>
      </c>
      <c r="G261" t="s">
        <v>2106</v>
      </c>
      <c r="H261">
        <v>3</v>
      </c>
      <c r="I261">
        <v>3.54</v>
      </c>
      <c r="J261" t="s">
        <v>2107</v>
      </c>
      <c r="K261" t="s">
        <v>140</v>
      </c>
      <c r="L261">
        <v>310</v>
      </c>
      <c r="M261">
        <v>1982</v>
      </c>
      <c r="N261">
        <v>1978</v>
      </c>
      <c r="O261" s="2"/>
      <c r="P261" s="2">
        <v>43508</v>
      </c>
      <c r="Q261" t="s">
        <v>119</v>
      </c>
      <c r="R261" t="s">
        <v>119</v>
      </c>
      <c r="S261" t="s">
        <v>125</v>
      </c>
      <c r="T261" t="s">
        <v>119</v>
      </c>
      <c r="U261" t="s">
        <v>119</v>
      </c>
      <c r="V261" t="s">
        <v>119</v>
      </c>
      <c r="W261">
        <v>1</v>
      </c>
      <c r="X261">
        <v>0</v>
      </c>
    </row>
    <row r="262" spans="1:24" x14ac:dyDescent="0.25">
      <c r="A262">
        <v>849052</v>
      </c>
      <c r="B262" t="s">
        <v>1437</v>
      </c>
      <c r="C262" t="s">
        <v>1433</v>
      </c>
      <c r="D262" t="s">
        <v>1434</v>
      </c>
      <c r="E262" t="s">
        <v>119</v>
      </c>
      <c r="F262" t="s">
        <v>1438</v>
      </c>
      <c r="G262" t="s">
        <v>1439</v>
      </c>
      <c r="H262">
        <v>0</v>
      </c>
      <c r="I262">
        <v>4.03</v>
      </c>
      <c r="J262" t="s">
        <v>119</v>
      </c>
      <c r="K262" t="s">
        <v>119</v>
      </c>
      <c r="L262">
        <v>128</v>
      </c>
      <c r="N262">
        <v>1942</v>
      </c>
      <c r="O262" s="2"/>
      <c r="P262" s="2">
        <v>44008</v>
      </c>
      <c r="Q262" t="s">
        <v>132</v>
      </c>
      <c r="R262" t="s">
        <v>1440</v>
      </c>
      <c r="S262" t="s">
        <v>132</v>
      </c>
      <c r="T262" t="s">
        <v>119</v>
      </c>
      <c r="U262" t="s">
        <v>119</v>
      </c>
      <c r="V262" t="s">
        <v>119</v>
      </c>
      <c r="W262">
        <v>0</v>
      </c>
      <c r="X262">
        <v>0</v>
      </c>
    </row>
    <row r="263" spans="1:24" x14ac:dyDescent="0.25">
      <c r="A263">
        <v>6346975</v>
      </c>
      <c r="B263" t="s">
        <v>2182</v>
      </c>
      <c r="C263" t="s">
        <v>2183</v>
      </c>
      <c r="D263" t="s">
        <v>2184</v>
      </c>
      <c r="E263" t="s">
        <v>119</v>
      </c>
      <c r="F263" t="s">
        <v>2185</v>
      </c>
      <c r="G263" t="s">
        <v>2186</v>
      </c>
      <c r="H263">
        <v>4</v>
      </c>
      <c r="I263">
        <v>3.88</v>
      </c>
      <c r="J263" t="s">
        <v>2187</v>
      </c>
      <c r="K263" t="s">
        <v>147</v>
      </c>
      <c r="L263">
        <v>307</v>
      </c>
      <c r="M263">
        <v>2011</v>
      </c>
      <c r="N263">
        <v>2011</v>
      </c>
      <c r="O263" s="2">
        <v>43433</v>
      </c>
      <c r="P263" s="2">
        <v>43426</v>
      </c>
      <c r="Q263" t="s">
        <v>119</v>
      </c>
      <c r="R263" t="s">
        <v>119</v>
      </c>
      <c r="S263" t="s">
        <v>125</v>
      </c>
      <c r="T263" t="s">
        <v>119</v>
      </c>
      <c r="U263" t="s">
        <v>119</v>
      </c>
      <c r="V263" t="s">
        <v>119</v>
      </c>
      <c r="W263">
        <v>1</v>
      </c>
      <c r="X263">
        <v>0</v>
      </c>
    </row>
    <row r="264" spans="1:24" x14ac:dyDescent="0.25">
      <c r="A264">
        <v>855824</v>
      </c>
      <c r="B264" t="s">
        <v>732</v>
      </c>
      <c r="C264" t="s">
        <v>733</v>
      </c>
      <c r="D264" t="s">
        <v>734</v>
      </c>
      <c r="E264" t="s">
        <v>735</v>
      </c>
      <c r="F264" t="s">
        <v>736</v>
      </c>
      <c r="G264" t="s">
        <v>737</v>
      </c>
      <c r="H264">
        <v>4</v>
      </c>
      <c r="I264">
        <v>3.79</v>
      </c>
      <c r="J264" t="s">
        <v>738</v>
      </c>
      <c r="K264" t="s">
        <v>157</v>
      </c>
      <c r="L264">
        <v>358</v>
      </c>
      <c r="M264">
        <v>1994</v>
      </c>
      <c r="N264">
        <v>1925</v>
      </c>
      <c r="O264" s="2">
        <v>42339</v>
      </c>
      <c r="P264" s="2">
        <v>44565</v>
      </c>
      <c r="Q264" t="s">
        <v>119</v>
      </c>
      <c r="R264" t="s">
        <v>119</v>
      </c>
      <c r="S264" t="s">
        <v>125</v>
      </c>
      <c r="T264" t="s">
        <v>119</v>
      </c>
      <c r="U264" t="s">
        <v>119</v>
      </c>
      <c r="V264" t="s">
        <v>119</v>
      </c>
      <c r="W264">
        <v>2</v>
      </c>
      <c r="X264">
        <v>0</v>
      </c>
    </row>
    <row r="265" spans="1:24" x14ac:dyDescent="0.25">
      <c r="A265">
        <v>8310410</v>
      </c>
      <c r="B265" t="s">
        <v>988</v>
      </c>
      <c r="C265" t="s">
        <v>696</v>
      </c>
      <c r="D265" t="s">
        <v>697</v>
      </c>
      <c r="E265" t="s">
        <v>777</v>
      </c>
      <c r="F265" t="s">
        <v>989</v>
      </c>
      <c r="G265" t="s">
        <v>990</v>
      </c>
      <c r="H265">
        <v>3</v>
      </c>
      <c r="I265">
        <v>3.99</v>
      </c>
      <c r="J265" t="s">
        <v>575</v>
      </c>
      <c r="K265" t="s">
        <v>147</v>
      </c>
      <c r="L265">
        <v>268</v>
      </c>
      <c r="M265">
        <v>2010</v>
      </c>
      <c r="N265">
        <v>2010</v>
      </c>
      <c r="O265" s="2">
        <v>44363</v>
      </c>
      <c r="P265" s="2">
        <v>44348</v>
      </c>
      <c r="Q265" t="s">
        <v>119</v>
      </c>
      <c r="R265" t="s">
        <v>119</v>
      </c>
      <c r="S265" t="s">
        <v>125</v>
      </c>
      <c r="T265" t="s">
        <v>119</v>
      </c>
      <c r="U265" t="s">
        <v>119</v>
      </c>
      <c r="V265" t="s">
        <v>119</v>
      </c>
      <c r="W265">
        <v>1</v>
      </c>
      <c r="X265">
        <v>0</v>
      </c>
    </row>
    <row r="266" spans="1:24" x14ac:dyDescent="0.25">
      <c r="A266">
        <v>49099937</v>
      </c>
      <c r="B266" t="s">
        <v>790</v>
      </c>
      <c r="C266" t="s">
        <v>791</v>
      </c>
      <c r="D266" t="s">
        <v>792</v>
      </c>
      <c r="E266" t="s">
        <v>793</v>
      </c>
      <c r="F266" t="s">
        <v>794</v>
      </c>
      <c r="G266" t="s">
        <v>795</v>
      </c>
      <c r="H266">
        <v>0</v>
      </c>
      <c r="I266">
        <v>4.3</v>
      </c>
      <c r="J266" t="s">
        <v>796</v>
      </c>
      <c r="K266" t="s">
        <v>140</v>
      </c>
      <c r="L266">
        <v>464</v>
      </c>
      <c r="M266">
        <v>2020</v>
      </c>
      <c r="N266">
        <v>2020</v>
      </c>
      <c r="O266" s="2"/>
      <c r="P266" s="2">
        <v>44517</v>
      </c>
      <c r="Q266" t="s">
        <v>132</v>
      </c>
      <c r="R266" t="s">
        <v>797</v>
      </c>
      <c r="S266" t="s">
        <v>132</v>
      </c>
      <c r="T266" t="s">
        <v>119</v>
      </c>
      <c r="U266" t="s">
        <v>119</v>
      </c>
      <c r="V266" t="s">
        <v>119</v>
      </c>
      <c r="W266">
        <v>0</v>
      </c>
      <c r="X266">
        <v>0</v>
      </c>
    </row>
    <row r="267" spans="1:24" x14ac:dyDescent="0.25">
      <c r="A267">
        <v>51190981</v>
      </c>
      <c r="B267" t="s">
        <v>1670</v>
      </c>
      <c r="C267" t="s">
        <v>1671</v>
      </c>
      <c r="D267" t="s">
        <v>1672</v>
      </c>
      <c r="E267" t="s">
        <v>119</v>
      </c>
      <c r="F267" t="s">
        <v>120</v>
      </c>
      <c r="G267" t="s">
        <v>120</v>
      </c>
      <c r="H267">
        <v>0</v>
      </c>
      <c r="I267">
        <v>4.26</v>
      </c>
      <c r="J267" t="s">
        <v>1673</v>
      </c>
      <c r="K267" t="s">
        <v>122</v>
      </c>
      <c r="L267">
        <v>184</v>
      </c>
      <c r="M267">
        <v>2019</v>
      </c>
      <c r="O267" s="2"/>
      <c r="P267" s="2">
        <v>43788</v>
      </c>
      <c r="Q267" t="s">
        <v>132</v>
      </c>
      <c r="R267" t="s">
        <v>1674</v>
      </c>
      <c r="S267" t="s">
        <v>132</v>
      </c>
      <c r="T267" t="s">
        <v>119</v>
      </c>
      <c r="U267" t="s">
        <v>119</v>
      </c>
      <c r="V267" t="s">
        <v>119</v>
      </c>
      <c r="W267">
        <v>0</v>
      </c>
      <c r="X267">
        <v>0</v>
      </c>
    </row>
    <row r="268" spans="1:24" x14ac:dyDescent="0.25">
      <c r="A268">
        <v>34372285</v>
      </c>
      <c r="B268" t="s">
        <v>7</v>
      </c>
      <c r="C268" t="s">
        <v>9</v>
      </c>
      <c r="D268" t="s">
        <v>212</v>
      </c>
      <c r="E268" t="s">
        <v>119</v>
      </c>
      <c r="F268" t="s">
        <v>120</v>
      </c>
      <c r="G268" t="s">
        <v>120</v>
      </c>
      <c r="H268">
        <v>0</v>
      </c>
      <c r="I268">
        <v>4.2</v>
      </c>
      <c r="J268" t="s">
        <v>213</v>
      </c>
      <c r="K268" t="s">
        <v>122</v>
      </c>
      <c r="L268">
        <v>320</v>
      </c>
      <c r="M268">
        <v>2017</v>
      </c>
      <c r="O268" s="2"/>
      <c r="P268" s="2">
        <v>44939</v>
      </c>
      <c r="Q268" t="s">
        <v>214</v>
      </c>
      <c r="R268" t="s">
        <v>215</v>
      </c>
      <c r="S268" t="s">
        <v>132</v>
      </c>
      <c r="T268" t="s">
        <v>119</v>
      </c>
      <c r="U268" t="s">
        <v>119</v>
      </c>
      <c r="V268" t="s">
        <v>119</v>
      </c>
      <c r="W268">
        <v>0</v>
      </c>
      <c r="X268">
        <v>1</v>
      </c>
    </row>
    <row r="269" spans="1:24" x14ac:dyDescent="0.25">
      <c r="A269">
        <v>55339408</v>
      </c>
      <c r="B269" t="s">
        <v>954</v>
      </c>
      <c r="C269" t="s">
        <v>955</v>
      </c>
      <c r="D269" t="s">
        <v>956</v>
      </c>
      <c r="E269" t="s">
        <v>957</v>
      </c>
      <c r="F269" t="s">
        <v>958</v>
      </c>
      <c r="G269" t="s">
        <v>959</v>
      </c>
      <c r="H269">
        <v>0</v>
      </c>
      <c r="I269">
        <v>3.65</v>
      </c>
      <c r="J269" t="s">
        <v>960</v>
      </c>
      <c r="K269" t="s">
        <v>147</v>
      </c>
      <c r="L269">
        <v>454</v>
      </c>
      <c r="M269">
        <v>2021</v>
      </c>
      <c r="N269">
        <v>2021</v>
      </c>
      <c r="O269" s="2"/>
      <c r="P269" s="2">
        <v>44395</v>
      </c>
      <c r="Q269" t="s">
        <v>132</v>
      </c>
      <c r="R269" t="s">
        <v>961</v>
      </c>
      <c r="S269" t="s">
        <v>132</v>
      </c>
      <c r="T269" t="s">
        <v>119</v>
      </c>
      <c r="U269" t="s">
        <v>119</v>
      </c>
      <c r="V269" t="s">
        <v>119</v>
      </c>
      <c r="W269">
        <v>0</v>
      </c>
      <c r="X269">
        <v>0</v>
      </c>
    </row>
    <row r="270" spans="1:24" x14ac:dyDescent="0.25">
      <c r="A270">
        <v>2691858</v>
      </c>
      <c r="B270" t="s">
        <v>648</v>
      </c>
      <c r="C270" t="s">
        <v>649</v>
      </c>
      <c r="D270" t="s">
        <v>650</v>
      </c>
      <c r="E270" t="s">
        <v>119</v>
      </c>
      <c r="F270" t="s">
        <v>651</v>
      </c>
      <c r="G270" t="s">
        <v>652</v>
      </c>
      <c r="H270">
        <v>4</v>
      </c>
      <c r="I270">
        <v>4.3499999999999996</v>
      </c>
      <c r="J270" t="s">
        <v>653</v>
      </c>
      <c r="K270" t="s">
        <v>140</v>
      </c>
      <c r="L270">
        <v>184</v>
      </c>
      <c r="M270">
        <v>1998</v>
      </c>
      <c r="N270">
        <v>1999</v>
      </c>
      <c r="O270" s="2">
        <v>44592</v>
      </c>
      <c r="P270" s="2">
        <v>44043</v>
      </c>
      <c r="Q270" t="s">
        <v>119</v>
      </c>
      <c r="R270" t="s">
        <v>119</v>
      </c>
      <c r="S270" t="s">
        <v>125</v>
      </c>
      <c r="T270" t="s">
        <v>654</v>
      </c>
      <c r="U270" t="s">
        <v>119</v>
      </c>
      <c r="V270" t="s">
        <v>119</v>
      </c>
      <c r="W270">
        <v>1</v>
      </c>
      <c r="X270">
        <v>0</v>
      </c>
    </row>
    <row r="271" spans="1:24" x14ac:dyDescent="0.25">
      <c r="A271">
        <v>758352</v>
      </c>
      <c r="B271" t="s">
        <v>2108</v>
      </c>
      <c r="C271" t="s">
        <v>2109</v>
      </c>
      <c r="D271" t="s">
        <v>2110</v>
      </c>
      <c r="E271" t="s">
        <v>119</v>
      </c>
      <c r="F271" t="s">
        <v>2111</v>
      </c>
      <c r="G271" t="s">
        <v>2112</v>
      </c>
      <c r="H271">
        <v>5</v>
      </c>
      <c r="I271">
        <v>4.0199999999999996</v>
      </c>
      <c r="J271" t="s">
        <v>156</v>
      </c>
      <c r="K271" t="s">
        <v>140</v>
      </c>
      <c r="L271">
        <v>625</v>
      </c>
      <c r="M271">
        <v>1977</v>
      </c>
      <c r="N271">
        <v>1960</v>
      </c>
      <c r="O271" s="2"/>
      <c r="P271" s="2">
        <v>43508</v>
      </c>
      <c r="Q271" t="s">
        <v>119</v>
      </c>
      <c r="R271" t="s">
        <v>119</v>
      </c>
      <c r="S271" t="s">
        <v>125</v>
      </c>
      <c r="T271" t="s">
        <v>119</v>
      </c>
      <c r="U271" t="s">
        <v>119</v>
      </c>
      <c r="V271" t="s">
        <v>119</v>
      </c>
      <c r="W271">
        <v>1</v>
      </c>
      <c r="X271">
        <v>0</v>
      </c>
    </row>
    <row r="272" spans="1:24" x14ac:dyDescent="0.25">
      <c r="A272">
        <v>11297</v>
      </c>
      <c r="B272" t="s">
        <v>2828</v>
      </c>
      <c r="C272" t="s">
        <v>915</v>
      </c>
      <c r="D272" t="s">
        <v>916</v>
      </c>
      <c r="E272" t="s">
        <v>2772</v>
      </c>
      <c r="F272" t="s">
        <v>2829</v>
      </c>
      <c r="G272" t="s">
        <v>2830</v>
      </c>
      <c r="H272">
        <v>4</v>
      </c>
      <c r="I272">
        <v>4.03</v>
      </c>
      <c r="J272" t="s">
        <v>2831</v>
      </c>
      <c r="K272" t="s">
        <v>140</v>
      </c>
      <c r="L272">
        <v>296</v>
      </c>
      <c r="M272">
        <v>2000</v>
      </c>
      <c r="N272">
        <v>1987</v>
      </c>
      <c r="O272" s="2"/>
      <c r="P272" s="2">
        <v>42307</v>
      </c>
      <c r="Q272" t="s">
        <v>609</v>
      </c>
      <c r="R272" t="s">
        <v>2832</v>
      </c>
      <c r="S272" t="s">
        <v>125</v>
      </c>
      <c r="T272" t="s">
        <v>119</v>
      </c>
      <c r="U272" t="s">
        <v>119</v>
      </c>
      <c r="V272" t="s">
        <v>119</v>
      </c>
      <c r="W272">
        <v>1</v>
      </c>
      <c r="X272">
        <v>0</v>
      </c>
    </row>
    <row r="273" spans="1:24" x14ac:dyDescent="0.25">
      <c r="A273">
        <v>3450744</v>
      </c>
      <c r="B273" t="s">
        <v>330</v>
      </c>
      <c r="C273" t="s">
        <v>331</v>
      </c>
      <c r="D273" t="s">
        <v>332</v>
      </c>
      <c r="E273" t="s">
        <v>333</v>
      </c>
      <c r="F273" t="s">
        <v>334</v>
      </c>
      <c r="G273" t="s">
        <v>335</v>
      </c>
      <c r="H273">
        <v>0</v>
      </c>
      <c r="I273">
        <v>3.84</v>
      </c>
      <c r="J273" t="s">
        <v>336</v>
      </c>
      <c r="K273" t="s">
        <v>140</v>
      </c>
      <c r="L273">
        <v>260</v>
      </c>
      <c r="M273">
        <v>2009</v>
      </c>
      <c r="N273">
        <v>2008</v>
      </c>
      <c r="O273" s="2"/>
      <c r="P273" s="2">
        <v>44870</v>
      </c>
      <c r="Q273" t="s">
        <v>132</v>
      </c>
      <c r="R273" t="s">
        <v>337</v>
      </c>
      <c r="S273" t="s">
        <v>132</v>
      </c>
      <c r="T273" t="s">
        <v>119</v>
      </c>
      <c r="U273" t="s">
        <v>119</v>
      </c>
      <c r="V273" t="s">
        <v>119</v>
      </c>
      <c r="W273">
        <v>0</v>
      </c>
      <c r="X273">
        <v>0</v>
      </c>
    </row>
    <row r="274" spans="1:24" x14ac:dyDescent="0.25">
      <c r="A274">
        <v>53110061</v>
      </c>
      <c r="B274" t="s">
        <v>1501</v>
      </c>
      <c r="C274" t="s">
        <v>1502</v>
      </c>
      <c r="D274" t="s">
        <v>1503</v>
      </c>
      <c r="E274" t="s">
        <v>119</v>
      </c>
      <c r="F274" t="s">
        <v>1504</v>
      </c>
      <c r="G274" t="s">
        <v>1505</v>
      </c>
      <c r="H274">
        <v>3</v>
      </c>
      <c r="I274">
        <v>3.82</v>
      </c>
      <c r="J274" t="s">
        <v>1506</v>
      </c>
      <c r="K274" t="s">
        <v>1507</v>
      </c>
      <c r="L274">
        <v>368</v>
      </c>
      <c r="M274">
        <v>2019</v>
      </c>
      <c r="N274">
        <v>2019</v>
      </c>
      <c r="O274" s="2">
        <v>43779</v>
      </c>
      <c r="P274" s="2">
        <v>43772</v>
      </c>
      <c r="Q274" t="s">
        <v>119</v>
      </c>
      <c r="R274" t="s">
        <v>119</v>
      </c>
      <c r="S274" t="s">
        <v>125</v>
      </c>
      <c r="T274" t="s">
        <v>119</v>
      </c>
      <c r="U274" t="s">
        <v>119</v>
      </c>
      <c r="V274" t="s">
        <v>119</v>
      </c>
      <c r="W274">
        <v>1</v>
      </c>
      <c r="X274">
        <v>0</v>
      </c>
    </row>
    <row r="275" spans="1:24" x14ac:dyDescent="0.25">
      <c r="A275">
        <v>10508</v>
      </c>
      <c r="B275" t="s">
        <v>2224</v>
      </c>
      <c r="C275" t="s">
        <v>2225</v>
      </c>
      <c r="D275" t="s">
        <v>2226</v>
      </c>
      <c r="E275" t="s">
        <v>2227</v>
      </c>
      <c r="F275" t="s">
        <v>2228</v>
      </c>
      <c r="G275" t="s">
        <v>2229</v>
      </c>
      <c r="H275">
        <v>0</v>
      </c>
      <c r="I275">
        <v>3.96</v>
      </c>
      <c r="J275" t="s">
        <v>751</v>
      </c>
      <c r="K275" t="s">
        <v>140</v>
      </c>
      <c r="L275">
        <v>352</v>
      </c>
      <c r="M275">
        <v>2005</v>
      </c>
      <c r="N275">
        <v>2002</v>
      </c>
      <c r="O275" s="2"/>
      <c r="P275" s="2">
        <v>43394</v>
      </c>
      <c r="Q275" t="s">
        <v>132</v>
      </c>
      <c r="R275" t="s">
        <v>2230</v>
      </c>
      <c r="S275" t="s">
        <v>132</v>
      </c>
      <c r="T275" t="s">
        <v>119</v>
      </c>
      <c r="U275" t="s">
        <v>119</v>
      </c>
      <c r="V275" t="s">
        <v>119</v>
      </c>
      <c r="W275">
        <v>0</v>
      </c>
      <c r="X275">
        <v>0</v>
      </c>
    </row>
    <row r="276" spans="1:24" x14ac:dyDescent="0.25">
      <c r="A276">
        <v>23426</v>
      </c>
      <c r="B276" t="s">
        <v>840</v>
      </c>
      <c r="C276" t="s">
        <v>60</v>
      </c>
      <c r="D276" t="s">
        <v>841</v>
      </c>
      <c r="E276" t="s">
        <v>119</v>
      </c>
      <c r="F276" t="s">
        <v>842</v>
      </c>
      <c r="G276" t="s">
        <v>843</v>
      </c>
      <c r="H276">
        <v>0</v>
      </c>
      <c r="I276">
        <v>3.97</v>
      </c>
      <c r="J276" t="s">
        <v>844</v>
      </c>
      <c r="K276" t="s">
        <v>140</v>
      </c>
      <c r="L276">
        <v>194</v>
      </c>
      <c r="M276">
        <v>2006</v>
      </c>
      <c r="N276">
        <v>1993</v>
      </c>
      <c r="O276" s="2"/>
      <c r="P276" s="2">
        <v>44470</v>
      </c>
      <c r="Q276" t="s">
        <v>132</v>
      </c>
      <c r="R276" t="s">
        <v>845</v>
      </c>
      <c r="S276" t="s">
        <v>132</v>
      </c>
      <c r="T276" t="s">
        <v>119</v>
      </c>
      <c r="U276" t="s">
        <v>119</v>
      </c>
      <c r="V276" t="s">
        <v>119</v>
      </c>
      <c r="W276">
        <v>0</v>
      </c>
      <c r="X276">
        <v>0</v>
      </c>
    </row>
    <row r="277" spans="1:24" x14ac:dyDescent="0.25">
      <c r="A277">
        <v>97412</v>
      </c>
      <c r="B277" t="s">
        <v>2505</v>
      </c>
      <c r="C277" t="s">
        <v>1676</v>
      </c>
      <c r="D277" t="s">
        <v>1677</v>
      </c>
      <c r="E277" t="s">
        <v>2506</v>
      </c>
      <c r="F277" t="s">
        <v>2507</v>
      </c>
      <c r="G277" t="s">
        <v>2508</v>
      </c>
      <c r="H277">
        <v>0</v>
      </c>
      <c r="I277">
        <v>4.1900000000000004</v>
      </c>
      <c r="J277" t="s">
        <v>336</v>
      </c>
      <c r="K277" t="s">
        <v>140</v>
      </c>
      <c r="L277">
        <v>106</v>
      </c>
      <c r="M277">
        <v>2005</v>
      </c>
      <c r="N277">
        <v>49</v>
      </c>
      <c r="O277" s="2"/>
      <c r="P277" s="2">
        <v>42625</v>
      </c>
      <c r="Q277" t="s">
        <v>214</v>
      </c>
      <c r="R277" t="s">
        <v>2509</v>
      </c>
      <c r="S277" t="s">
        <v>132</v>
      </c>
      <c r="T277" t="s">
        <v>119</v>
      </c>
      <c r="U277" t="s">
        <v>119</v>
      </c>
      <c r="V277" t="s">
        <v>119</v>
      </c>
      <c r="W277">
        <v>0</v>
      </c>
      <c r="X277">
        <v>0</v>
      </c>
    </row>
    <row r="278" spans="1:24" x14ac:dyDescent="0.25">
      <c r="A278">
        <v>42683</v>
      </c>
      <c r="B278" t="s">
        <v>999</v>
      </c>
      <c r="C278" t="s">
        <v>1000</v>
      </c>
      <c r="D278" t="s">
        <v>1001</v>
      </c>
      <c r="E278" t="s">
        <v>1002</v>
      </c>
      <c r="F278" t="s">
        <v>1003</v>
      </c>
      <c r="G278" t="s">
        <v>1004</v>
      </c>
      <c r="H278">
        <v>0</v>
      </c>
      <c r="I278">
        <v>4.04</v>
      </c>
      <c r="J278" t="s">
        <v>1005</v>
      </c>
      <c r="K278" t="s">
        <v>140</v>
      </c>
      <c r="L278">
        <v>160</v>
      </c>
      <c r="M278">
        <v>2004</v>
      </c>
      <c r="N278">
        <v>1984</v>
      </c>
      <c r="O278" s="2"/>
      <c r="P278" s="2">
        <v>44302</v>
      </c>
      <c r="Q278" t="s">
        <v>132</v>
      </c>
      <c r="R278" t="s">
        <v>1006</v>
      </c>
      <c r="S278" t="s">
        <v>132</v>
      </c>
      <c r="T278" t="s">
        <v>119</v>
      </c>
      <c r="U278" t="s">
        <v>119</v>
      </c>
      <c r="V278" t="s">
        <v>119</v>
      </c>
      <c r="W278">
        <v>0</v>
      </c>
      <c r="X278">
        <v>0</v>
      </c>
    </row>
    <row r="279" spans="1:24" x14ac:dyDescent="0.25">
      <c r="A279">
        <v>53343</v>
      </c>
      <c r="B279" t="s">
        <v>1403</v>
      </c>
      <c r="C279" t="s">
        <v>1404</v>
      </c>
      <c r="D279" t="s">
        <v>1405</v>
      </c>
      <c r="E279" t="s">
        <v>119</v>
      </c>
      <c r="F279" t="s">
        <v>1406</v>
      </c>
      <c r="G279" t="s">
        <v>1407</v>
      </c>
      <c r="H279">
        <v>4</v>
      </c>
      <c r="I279">
        <v>4.24</v>
      </c>
      <c r="J279" t="s">
        <v>1408</v>
      </c>
      <c r="K279" t="s">
        <v>140</v>
      </c>
      <c r="L279">
        <v>336</v>
      </c>
      <c r="M279">
        <v>2016</v>
      </c>
      <c r="N279">
        <v>1976</v>
      </c>
      <c r="O279" s="2">
        <v>44062</v>
      </c>
      <c r="P279" s="2">
        <v>43941</v>
      </c>
      <c r="Q279" t="s">
        <v>119</v>
      </c>
      <c r="R279" t="s">
        <v>119</v>
      </c>
      <c r="S279" t="s">
        <v>125</v>
      </c>
      <c r="T279" t="s">
        <v>119</v>
      </c>
      <c r="U279" t="s">
        <v>119</v>
      </c>
      <c r="V279" t="s">
        <v>119</v>
      </c>
      <c r="W279">
        <v>1</v>
      </c>
      <c r="X279">
        <v>0</v>
      </c>
    </row>
    <row r="280" spans="1:24" x14ac:dyDescent="0.25">
      <c r="A280">
        <v>10569</v>
      </c>
      <c r="B280" t="s">
        <v>1202</v>
      </c>
      <c r="C280" t="s">
        <v>1203</v>
      </c>
      <c r="D280" t="s">
        <v>1204</v>
      </c>
      <c r="E280" t="s">
        <v>119</v>
      </c>
      <c r="F280" t="s">
        <v>1205</v>
      </c>
      <c r="G280" t="s">
        <v>1206</v>
      </c>
      <c r="H280">
        <v>0</v>
      </c>
      <c r="I280">
        <v>4.33</v>
      </c>
      <c r="J280" t="s">
        <v>1207</v>
      </c>
      <c r="K280" t="s">
        <v>157</v>
      </c>
      <c r="L280">
        <v>320</v>
      </c>
      <c r="M280">
        <v>2002</v>
      </c>
      <c r="N280">
        <v>2000</v>
      </c>
      <c r="O280" s="2"/>
      <c r="P280" s="2">
        <v>44180</v>
      </c>
      <c r="Q280" t="s">
        <v>132</v>
      </c>
      <c r="R280" t="s">
        <v>1208</v>
      </c>
      <c r="S280" t="s">
        <v>132</v>
      </c>
      <c r="T280" t="s">
        <v>119</v>
      </c>
      <c r="U280" t="s">
        <v>119</v>
      </c>
      <c r="V280" t="s">
        <v>119</v>
      </c>
      <c r="W280">
        <v>0</v>
      </c>
      <c r="X280">
        <v>0</v>
      </c>
    </row>
    <row r="281" spans="1:24" x14ac:dyDescent="0.25">
      <c r="A281">
        <v>266621</v>
      </c>
      <c r="B281" t="s">
        <v>1109</v>
      </c>
      <c r="C281" t="s">
        <v>1110</v>
      </c>
      <c r="D281" t="s">
        <v>1111</v>
      </c>
      <c r="E281" t="s">
        <v>119</v>
      </c>
      <c r="F281" t="s">
        <v>120</v>
      </c>
      <c r="G281" t="s">
        <v>1112</v>
      </c>
      <c r="H281">
        <v>0</v>
      </c>
      <c r="I281">
        <v>4</v>
      </c>
      <c r="J281" t="s">
        <v>1113</v>
      </c>
      <c r="K281" t="s">
        <v>147</v>
      </c>
      <c r="L281">
        <v>182</v>
      </c>
      <c r="M281">
        <v>2004</v>
      </c>
      <c r="N281">
        <v>2009</v>
      </c>
      <c r="O281" s="2"/>
      <c r="P281" s="2">
        <v>44201</v>
      </c>
      <c r="Q281" t="s">
        <v>132</v>
      </c>
      <c r="R281" t="s">
        <v>1114</v>
      </c>
      <c r="S281" t="s">
        <v>132</v>
      </c>
      <c r="T281" t="s">
        <v>119</v>
      </c>
      <c r="U281" t="s">
        <v>119</v>
      </c>
      <c r="V281" t="s">
        <v>119</v>
      </c>
      <c r="W281">
        <v>0</v>
      </c>
      <c r="X281">
        <v>0</v>
      </c>
    </row>
    <row r="282" spans="1:24" x14ac:dyDescent="0.25">
      <c r="A282">
        <v>3822089</v>
      </c>
      <c r="B282" t="s">
        <v>1241</v>
      </c>
      <c r="C282" t="s">
        <v>1242</v>
      </c>
      <c r="D282" t="s">
        <v>1243</v>
      </c>
      <c r="E282" t="s">
        <v>1244</v>
      </c>
      <c r="F282" t="s">
        <v>1245</v>
      </c>
      <c r="G282" t="s">
        <v>1246</v>
      </c>
      <c r="H282">
        <v>0</v>
      </c>
      <c r="I282">
        <v>4.34</v>
      </c>
      <c r="J282" t="s">
        <v>1247</v>
      </c>
      <c r="K282" t="s">
        <v>147</v>
      </c>
      <c r="L282">
        <v>192</v>
      </c>
      <c r="M282">
        <v>2008</v>
      </c>
      <c r="N282">
        <v>2008</v>
      </c>
      <c r="O282" s="2"/>
      <c r="P282" s="2">
        <v>44164</v>
      </c>
      <c r="Q282" t="s">
        <v>132</v>
      </c>
      <c r="R282" t="s">
        <v>1248</v>
      </c>
      <c r="S282" t="s">
        <v>132</v>
      </c>
      <c r="T282" t="s">
        <v>119</v>
      </c>
      <c r="U282" t="s">
        <v>119</v>
      </c>
      <c r="V282" t="s">
        <v>119</v>
      </c>
      <c r="W282">
        <v>0</v>
      </c>
      <c r="X282">
        <v>0</v>
      </c>
    </row>
    <row r="283" spans="1:24" x14ac:dyDescent="0.25">
      <c r="A283">
        <v>25614523</v>
      </c>
      <c r="B283" t="s">
        <v>1932</v>
      </c>
      <c r="C283" t="s">
        <v>1116</v>
      </c>
      <c r="D283" t="s">
        <v>1117</v>
      </c>
      <c r="E283" t="s">
        <v>119</v>
      </c>
      <c r="F283" t="s">
        <v>1933</v>
      </c>
      <c r="G283" t="s">
        <v>1934</v>
      </c>
      <c r="H283">
        <v>0</v>
      </c>
      <c r="I283">
        <v>3.96</v>
      </c>
      <c r="J283" t="s">
        <v>1247</v>
      </c>
      <c r="K283" t="s">
        <v>147</v>
      </c>
      <c r="L283">
        <v>326</v>
      </c>
      <c r="M283">
        <v>2016</v>
      </c>
      <c r="N283">
        <v>2016</v>
      </c>
      <c r="O283" s="2"/>
      <c r="P283" s="2">
        <v>43665</v>
      </c>
      <c r="Q283" t="s">
        <v>132</v>
      </c>
      <c r="R283" t="s">
        <v>1935</v>
      </c>
      <c r="S283" t="s">
        <v>132</v>
      </c>
      <c r="T283" t="s">
        <v>119</v>
      </c>
      <c r="U283" t="s">
        <v>119</v>
      </c>
      <c r="V283" t="s">
        <v>119</v>
      </c>
      <c r="W283">
        <v>0</v>
      </c>
      <c r="X283">
        <v>0</v>
      </c>
    </row>
    <row r="284" spans="1:24" x14ac:dyDescent="0.25">
      <c r="A284">
        <v>419461</v>
      </c>
      <c r="B284" t="s">
        <v>2708</v>
      </c>
      <c r="C284" t="s">
        <v>2709</v>
      </c>
      <c r="D284" t="s">
        <v>2710</v>
      </c>
      <c r="E284" t="s">
        <v>2711</v>
      </c>
      <c r="F284" t="s">
        <v>2712</v>
      </c>
      <c r="G284" t="s">
        <v>2713</v>
      </c>
      <c r="H284">
        <v>4</v>
      </c>
      <c r="I284">
        <v>3.77</v>
      </c>
      <c r="J284" t="s">
        <v>519</v>
      </c>
      <c r="K284" t="s">
        <v>147</v>
      </c>
      <c r="L284">
        <v>147</v>
      </c>
      <c r="M284">
        <v>2006</v>
      </c>
      <c r="N284">
        <v>2005</v>
      </c>
      <c r="O284" s="2">
        <v>42519</v>
      </c>
      <c r="P284" s="2">
        <v>42519</v>
      </c>
      <c r="Q284" t="s">
        <v>119</v>
      </c>
      <c r="R284" t="s">
        <v>119</v>
      </c>
      <c r="S284" t="s">
        <v>125</v>
      </c>
      <c r="T284" t="s">
        <v>119</v>
      </c>
      <c r="U284" t="s">
        <v>119</v>
      </c>
      <c r="V284" t="s">
        <v>119</v>
      </c>
      <c r="W284">
        <v>1</v>
      </c>
      <c r="X284">
        <v>0</v>
      </c>
    </row>
    <row r="285" spans="1:24" x14ac:dyDescent="0.25">
      <c r="A285">
        <v>39854442</v>
      </c>
      <c r="B285" t="s">
        <v>1650</v>
      </c>
      <c r="C285" t="s">
        <v>1645</v>
      </c>
      <c r="D285" t="s">
        <v>1646</v>
      </c>
      <c r="E285" t="s">
        <v>119</v>
      </c>
      <c r="F285" t="s">
        <v>1651</v>
      </c>
      <c r="G285" t="s">
        <v>1652</v>
      </c>
      <c r="H285">
        <v>0</v>
      </c>
      <c r="I285">
        <v>3.6</v>
      </c>
      <c r="J285" t="s">
        <v>1653</v>
      </c>
      <c r="K285" t="s">
        <v>273</v>
      </c>
      <c r="L285">
        <v>400</v>
      </c>
      <c r="M285">
        <v>2019</v>
      </c>
      <c r="N285">
        <v>2019</v>
      </c>
      <c r="O285" s="2"/>
      <c r="P285" s="2">
        <v>43916</v>
      </c>
      <c r="Q285" t="s">
        <v>132</v>
      </c>
      <c r="R285" t="s">
        <v>1654</v>
      </c>
      <c r="S285" t="s">
        <v>132</v>
      </c>
      <c r="T285" t="s">
        <v>119</v>
      </c>
      <c r="U285" t="s">
        <v>119</v>
      </c>
      <c r="V285" t="s">
        <v>119</v>
      </c>
      <c r="W285">
        <v>0</v>
      </c>
      <c r="X285">
        <v>0</v>
      </c>
    </row>
    <row r="286" spans="1:24" x14ac:dyDescent="0.25">
      <c r="A286">
        <v>49377381</v>
      </c>
      <c r="B286" t="s">
        <v>1460</v>
      </c>
      <c r="C286" t="s">
        <v>1461</v>
      </c>
      <c r="D286" t="s">
        <v>1462</v>
      </c>
      <c r="E286" t="s">
        <v>119</v>
      </c>
      <c r="F286" t="s">
        <v>120</v>
      </c>
      <c r="G286" t="s">
        <v>120</v>
      </c>
      <c r="H286">
        <v>0</v>
      </c>
      <c r="I286">
        <v>4.7300000000000004</v>
      </c>
      <c r="J286" t="s">
        <v>1463</v>
      </c>
      <c r="K286" t="s">
        <v>122</v>
      </c>
      <c r="L286">
        <v>223</v>
      </c>
      <c r="M286">
        <v>2019</v>
      </c>
      <c r="O286" s="2"/>
      <c r="P286" s="2">
        <v>43997</v>
      </c>
      <c r="Q286" t="s">
        <v>132</v>
      </c>
      <c r="R286" t="s">
        <v>1464</v>
      </c>
      <c r="S286" t="s">
        <v>132</v>
      </c>
      <c r="T286" t="s">
        <v>119</v>
      </c>
      <c r="U286" t="s">
        <v>119</v>
      </c>
      <c r="V286" t="s">
        <v>119</v>
      </c>
      <c r="W286">
        <v>0</v>
      </c>
      <c r="X286">
        <v>0</v>
      </c>
    </row>
    <row r="287" spans="1:24" x14ac:dyDescent="0.25">
      <c r="A287">
        <v>13542640</v>
      </c>
      <c r="B287" t="s">
        <v>1857</v>
      </c>
      <c r="C287" t="s">
        <v>1858</v>
      </c>
      <c r="D287" t="s">
        <v>1859</v>
      </c>
      <c r="E287" t="s">
        <v>119</v>
      </c>
      <c r="F287" t="s">
        <v>1860</v>
      </c>
      <c r="G287" t="s">
        <v>1861</v>
      </c>
      <c r="H287">
        <v>5</v>
      </c>
      <c r="I287">
        <v>4.24</v>
      </c>
      <c r="J287" t="s">
        <v>1862</v>
      </c>
      <c r="K287" t="s">
        <v>140</v>
      </c>
      <c r="L287">
        <v>276</v>
      </c>
      <c r="M287">
        <v>2012</v>
      </c>
      <c r="N287">
        <v>2012</v>
      </c>
      <c r="O287" s="2">
        <v>43674</v>
      </c>
      <c r="P287" s="2">
        <v>43646</v>
      </c>
      <c r="Q287" t="s">
        <v>1849</v>
      </c>
      <c r="R287" t="s">
        <v>1863</v>
      </c>
      <c r="S287" t="s">
        <v>125</v>
      </c>
      <c r="T287" t="s">
        <v>119</v>
      </c>
      <c r="U287" t="s">
        <v>119</v>
      </c>
      <c r="V287" t="s">
        <v>119</v>
      </c>
      <c r="W287">
        <v>1</v>
      </c>
      <c r="X287">
        <v>0</v>
      </c>
    </row>
    <row r="288" spans="1:24" x14ac:dyDescent="0.25">
      <c r="A288">
        <v>55200359</v>
      </c>
      <c r="B288" t="s">
        <v>364</v>
      </c>
      <c r="C288" t="s">
        <v>365</v>
      </c>
      <c r="D288" t="s">
        <v>366</v>
      </c>
      <c r="E288" t="s">
        <v>119</v>
      </c>
      <c r="F288" t="s">
        <v>367</v>
      </c>
      <c r="G288" t="s">
        <v>368</v>
      </c>
      <c r="H288">
        <v>0</v>
      </c>
      <c r="I288">
        <v>4.08</v>
      </c>
      <c r="J288" t="s">
        <v>201</v>
      </c>
      <c r="K288" t="s">
        <v>273</v>
      </c>
      <c r="L288">
        <v>368</v>
      </c>
      <c r="M288">
        <v>2021</v>
      </c>
      <c r="N288">
        <v>2021</v>
      </c>
      <c r="O288" s="2"/>
      <c r="P288" s="2">
        <v>44849</v>
      </c>
      <c r="Q288" t="s">
        <v>132</v>
      </c>
      <c r="R288" t="s">
        <v>369</v>
      </c>
      <c r="S288" t="s">
        <v>132</v>
      </c>
      <c r="T288" t="s">
        <v>119</v>
      </c>
      <c r="U288" t="s">
        <v>119</v>
      </c>
      <c r="V288" t="s">
        <v>119</v>
      </c>
      <c r="W288">
        <v>0</v>
      </c>
      <c r="X288">
        <v>0</v>
      </c>
    </row>
    <row r="289" spans="1:24" x14ac:dyDescent="0.25">
      <c r="A289">
        <v>26312997</v>
      </c>
      <c r="B289" t="s">
        <v>1918</v>
      </c>
      <c r="C289" t="s">
        <v>1919</v>
      </c>
      <c r="D289" t="s">
        <v>1920</v>
      </c>
      <c r="E289" t="s">
        <v>1921</v>
      </c>
      <c r="F289" t="s">
        <v>1922</v>
      </c>
      <c r="G289" t="s">
        <v>1923</v>
      </c>
      <c r="H289">
        <v>0</v>
      </c>
      <c r="I289">
        <v>4.21</v>
      </c>
      <c r="J289" t="s">
        <v>201</v>
      </c>
      <c r="K289" t="s">
        <v>273</v>
      </c>
      <c r="L289">
        <v>336</v>
      </c>
      <c r="M289">
        <v>2016</v>
      </c>
      <c r="N289">
        <v>2016</v>
      </c>
      <c r="O289" s="2"/>
      <c r="P289" s="2">
        <v>43702</v>
      </c>
      <c r="Q289" t="s">
        <v>132</v>
      </c>
      <c r="R289" t="s">
        <v>1924</v>
      </c>
      <c r="S289" t="s">
        <v>132</v>
      </c>
      <c r="T289" t="s">
        <v>119</v>
      </c>
      <c r="U289" t="s">
        <v>119</v>
      </c>
      <c r="V289" t="s">
        <v>119</v>
      </c>
      <c r="W289">
        <v>0</v>
      </c>
      <c r="X289">
        <v>0</v>
      </c>
    </row>
    <row r="290" spans="1:24" x14ac:dyDescent="0.25">
      <c r="A290">
        <v>5550</v>
      </c>
      <c r="B290" t="s">
        <v>2213</v>
      </c>
      <c r="C290" t="s">
        <v>1375</v>
      </c>
      <c r="D290" t="s">
        <v>1376</v>
      </c>
      <c r="E290" t="s">
        <v>2214</v>
      </c>
      <c r="F290" t="s">
        <v>2215</v>
      </c>
      <c r="G290" t="s">
        <v>2216</v>
      </c>
      <c r="H290">
        <v>0</v>
      </c>
      <c r="I290">
        <v>4.25</v>
      </c>
      <c r="J290" t="s">
        <v>1041</v>
      </c>
      <c r="K290" t="s">
        <v>2217</v>
      </c>
      <c r="L290">
        <v>512</v>
      </c>
      <c r="M290">
        <v>2005</v>
      </c>
      <c r="N290">
        <v>2004</v>
      </c>
      <c r="O290" s="2"/>
      <c r="P290" s="2">
        <v>43394</v>
      </c>
      <c r="Q290" t="s">
        <v>132</v>
      </c>
      <c r="R290" t="s">
        <v>2218</v>
      </c>
      <c r="S290" t="s">
        <v>132</v>
      </c>
      <c r="T290" t="s">
        <v>119</v>
      </c>
      <c r="U290" t="s">
        <v>119</v>
      </c>
      <c r="V290" t="s">
        <v>119</v>
      </c>
      <c r="W290">
        <v>0</v>
      </c>
      <c r="X290">
        <v>0</v>
      </c>
    </row>
    <row r="291" spans="1:24" x14ac:dyDescent="0.25">
      <c r="A291">
        <v>25817081</v>
      </c>
      <c r="B291" t="s">
        <v>1776</v>
      </c>
      <c r="C291" t="s">
        <v>1777</v>
      </c>
      <c r="D291" t="s">
        <v>1778</v>
      </c>
      <c r="E291" t="s">
        <v>119</v>
      </c>
      <c r="F291" t="s">
        <v>1779</v>
      </c>
      <c r="G291" t="s">
        <v>1780</v>
      </c>
      <c r="H291">
        <v>0</v>
      </c>
      <c r="I291">
        <v>3.97</v>
      </c>
      <c r="J291" t="s">
        <v>381</v>
      </c>
      <c r="K291" t="s">
        <v>147</v>
      </c>
      <c r="L291">
        <v>256</v>
      </c>
      <c r="M291">
        <v>2016</v>
      </c>
      <c r="N291">
        <v>2016</v>
      </c>
      <c r="O291" s="2"/>
      <c r="P291" s="2">
        <v>43790</v>
      </c>
      <c r="Q291" t="s">
        <v>132</v>
      </c>
      <c r="R291" t="s">
        <v>1781</v>
      </c>
      <c r="S291" t="s">
        <v>132</v>
      </c>
      <c r="T291" t="s">
        <v>119</v>
      </c>
      <c r="U291" t="s">
        <v>119</v>
      </c>
      <c r="V291" t="s">
        <v>119</v>
      </c>
      <c r="W291">
        <v>0</v>
      </c>
      <c r="X291">
        <v>0</v>
      </c>
    </row>
    <row r="292" spans="1:24" x14ac:dyDescent="0.25">
      <c r="A292">
        <v>1168341</v>
      </c>
      <c r="B292" t="s">
        <v>2968</v>
      </c>
      <c r="C292" t="s">
        <v>2957</v>
      </c>
      <c r="D292" t="s">
        <v>2958</v>
      </c>
      <c r="E292" t="s">
        <v>119</v>
      </c>
      <c r="F292" t="s">
        <v>2969</v>
      </c>
      <c r="G292" t="s">
        <v>2970</v>
      </c>
      <c r="H292">
        <v>0</v>
      </c>
      <c r="I292">
        <v>4.09</v>
      </c>
      <c r="J292" t="s">
        <v>2971</v>
      </c>
      <c r="K292" t="s">
        <v>147</v>
      </c>
      <c r="L292">
        <v>329</v>
      </c>
      <c r="M292">
        <v>2008</v>
      </c>
      <c r="N292">
        <v>2008</v>
      </c>
      <c r="O292" s="2"/>
      <c r="P292" s="2">
        <v>42165</v>
      </c>
      <c r="Q292" t="s">
        <v>132</v>
      </c>
      <c r="R292" t="s">
        <v>2972</v>
      </c>
      <c r="S292" t="s">
        <v>132</v>
      </c>
      <c r="T292" t="s">
        <v>119</v>
      </c>
      <c r="U292" t="s">
        <v>119</v>
      </c>
      <c r="V292" t="s">
        <v>119</v>
      </c>
      <c r="W292">
        <v>0</v>
      </c>
      <c r="X292">
        <v>0</v>
      </c>
    </row>
    <row r="293" spans="1:24" x14ac:dyDescent="0.25">
      <c r="A293">
        <v>26150785</v>
      </c>
      <c r="B293" t="s">
        <v>1549</v>
      </c>
      <c r="C293" t="s">
        <v>1550</v>
      </c>
      <c r="D293" t="s">
        <v>1551</v>
      </c>
      <c r="E293" t="s">
        <v>119</v>
      </c>
      <c r="F293" t="s">
        <v>1552</v>
      </c>
      <c r="G293" t="s">
        <v>1553</v>
      </c>
      <c r="H293">
        <v>0</v>
      </c>
      <c r="I293">
        <v>3.76</v>
      </c>
      <c r="J293" t="s">
        <v>1554</v>
      </c>
      <c r="K293" t="s">
        <v>147</v>
      </c>
      <c r="L293">
        <v>272</v>
      </c>
      <c r="M293">
        <v>2016</v>
      </c>
      <c r="N293">
        <v>2016</v>
      </c>
      <c r="O293" s="2"/>
      <c r="P293" s="2">
        <v>43972</v>
      </c>
      <c r="Q293" t="s">
        <v>132</v>
      </c>
      <c r="R293" t="s">
        <v>1555</v>
      </c>
      <c r="S293" t="s">
        <v>132</v>
      </c>
      <c r="T293" t="s">
        <v>119</v>
      </c>
      <c r="U293" t="s">
        <v>119</v>
      </c>
      <c r="V293" t="s">
        <v>119</v>
      </c>
      <c r="W293">
        <v>0</v>
      </c>
      <c r="X293">
        <v>0</v>
      </c>
    </row>
    <row r="294" spans="1:24" x14ac:dyDescent="0.25">
      <c r="A294">
        <v>2133991</v>
      </c>
      <c r="B294" t="s">
        <v>2852</v>
      </c>
      <c r="C294" t="s">
        <v>2853</v>
      </c>
      <c r="D294" t="s">
        <v>2854</v>
      </c>
      <c r="E294" t="s">
        <v>119</v>
      </c>
      <c r="F294" t="s">
        <v>2855</v>
      </c>
      <c r="G294" t="s">
        <v>2856</v>
      </c>
      <c r="H294">
        <v>4</v>
      </c>
      <c r="I294">
        <v>4.0599999999999996</v>
      </c>
      <c r="J294" t="s">
        <v>2090</v>
      </c>
      <c r="K294" t="s">
        <v>157</v>
      </c>
      <c r="L294">
        <v>380</v>
      </c>
      <c r="M294">
        <v>2007</v>
      </c>
      <c r="N294">
        <v>2003</v>
      </c>
      <c r="O294" s="2">
        <v>42400</v>
      </c>
      <c r="P294" s="2">
        <v>42370</v>
      </c>
      <c r="Q294" t="s">
        <v>882</v>
      </c>
      <c r="R294" t="s">
        <v>2857</v>
      </c>
      <c r="S294" t="s">
        <v>125</v>
      </c>
      <c r="T294" t="s">
        <v>119</v>
      </c>
      <c r="U294" t="s">
        <v>119</v>
      </c>
      <c r="V294" t="s">
        <v>119</v>
      </c>
      <c r="W294">
        <v>1</v>
      </c>
      <c r="X294">
        <v>0</v>
      </c>
    </row>
    <row r="295" spans="1:24" x14ac:dyDescent="0.25">
      <c r="A295">
        <v>58782858</v>
      </c>
      <c r="B295" t="s">
        <v>343</v>
      </c>
      <c r="C295" t="s">
        <v>25</v>
      </c>
      <c r="D295" t="s">
        <v>344</v>
      </c>
      <c r="E295" t="s">
        <v>119</v>
      </c>
      <c r="F295" t="s">
        <v>345</v>
      </c>
      <c r="G295" t="s">
        <v>346</v>
      </c>
      <c r="H295">
        <v>4</v>
      </c>
      <c r="I295">
        <v>4.1399999999999997</v>
      </c>
      <c r="J295" t="s">
        <v>347</v>
      </c>
      <c r="K295" t="s">
        <v>147</v>
      </c>
      <c r="L295">
        <v>304</v>
      </c>
      <c r="M295">
        <v>2022</v>
      </c>
      <c r="O295" s="2">
        <v>44868</v>
      </c>
      <c r="P295" s="2">
        <v>44825</v>
      </c>
      <c r="Q295" t="s">
        <v>119</v>
      </c>
      <c r="R295" t="s">
        <v>119</v>
      </c>
      <c r="S295" t="s">
        <v>125</v>
      </c>
      <c r="T295" t="s">
        <v>348</v>
      </c>
      <c r="U295" t="s">
        <v>119</v>
      </c>
      <c r="V295" t="s">
        <v>119</v>
      </c>
      <c r="W295">
        <v>1</v>
      </c>
      <c r="X295">
        <v>0</v>
      </c>
    </row>
    <row r="296" spans="1:24" x14ac:dyDescent="0.25">
      <c r="A296">
        <v>1035794</v>
      </c>
      <c r="B296" t="s">
        <v>1948</v>
      </c>
      <c r="C296" t="s">
        <v>1949</v>
      </c>
      <c r="D296" t="s">
        <v>1950</v>
      </c>
      <c r="E296" t="s">
        <v>119</v>
      </c>
      <c r="F296" t="s">
        <v>1951</v>
      </c>
      <c r="G296" t="s">
        <v>1952</v>
      </c>
      <c r="H296">
        <v>0</v>
      </c>
      <c r="I296">
        <v>4.46</v>
      </c>
      <c r="J296" t="s">
        <v>1953</v>
      </c>
      <c r="K296" t="s">
        <v>140</v>
      </c>
      <c r="L296">
        <v>70</v>
      </c>
      <c r="M296">
        <v>1991</v>
      </c>
      <c r="N296">
        <v>1971</v>
      </c>
      <c r="O296" s="2"/>
      <c r="P296" s="2">
        <v>43601</v>
      </c>
      <c r="Q296" t="s">
        <v>132</v>
      </c>
      <c r="R296" t="s">
        <v>1954</v>
      </c>
      <c r="S296" t="s">
        <v>132</v>
      </c>
      <c r="T296" t="s">
        <v>119</v>
      </c>
      <c r="U296" t="s">
        <v>119</v>
      </c>
      <c r="V296" t="s">
        <v>119</v>
      </c>
      <c r="W296">
        <v>0</v>
      </c>
      <c r="X296">
        <v>0</v>
      </c>
    </row>
    <row r="297" spans="1:24" x14ac:dyDescent="0.25">
      <c r="A297">
        <v>1713426</v>
      </c>
      <c r="B297" t="s">
        <v>1071</v>
      </c>
      <c r="C297" t="s">
        <v>1072</v>
      </c>
      <c r="D297" t="s">
        <v>1073</v>
      </c>
      <c r="E297" t="s">
        <v>119</v>
      </c>
      <c r="F297" t="s">
        <v>120</v>
      </c>
      <c r="G297" t="s">
        <v>120</v>
      </c>
      <c r="H297">
        <v>0</v>
      </c>
      <c r="I297">
        <v>4.12</v>
      </c>
      <c r="J297" t="s">
        <v>1074</v>
      </c>
      <c r="K297" t="s">
        <v>147</v>
      </c>
      <c r="L297">
        <v>247</v>
      </c>
      <c r="M297">
        <v>2008</v>
      </c>
      <c r="N297">
        <v>2008</v>
      </c>
      <c r="O297" s="2"/>
      <c r="P297" s="2">
        <v>44221</v>
      </c>
      <c r="Q297" t="s">
        <v>132</v>
      </c>
      <c r="R297" t="s">
        <v>1075</v>
      </c>
      <c r="S297" t="s">
        <v>132</v>
      </c>
      <c r="T297" t="s">
        <v>119</v>
      </c>
      <c r="U297" t="s">
        <v>119</v>
      </c>
      <c r="V297" t="s">
        <v>119</v>
      </c>
      <c r="W297">
        <v>0</v>
      </c>
      <c r="X297">
        <v>0</v>
      </c>
    </row>
    <row r="298" spans="1:24" x14ac:dyDescent="0.25">
      <c r="A298">
        <v>218392</v>
      </c>
      <c r="B298" t="s">
        <v>1349</v>
      </c>
      <c r="C298" t="s">
        <v>1350</v>
      </c>
      <c r="D298" t="s">
        <v>1351</v>
      </c>
      <c r="E298" t="s">
        <v>119</v>
      </c>
      <c r="F298" t="s">
        <v>1352</v>
      </c>
      <c r="G298" t="s">
        <v>1353</v>
      </c>
      <c r="H298">
        <v>0</v>
      </c>
      <c r="I298">
        <v>4.1399999999999997</v>
      </c>
      <c r="J298" t="s">
        <v>1354</v>
      </c>
      <c r="K298" t="s">
        <v>140</v>
      </c>
      <c r="L298">
        <v>422</v>
      </c>
      <c r="M298">
        <v>2004</v>
      </c>
      <c r="N298">
        <v>2003</v>
      </c>
      <c r="O298" s="2"/>
      <c r="P298" s="2">
        <v>44069</v>
      </c>
      <c r="Q298" t="s">
        <v>132</v>
      </c>
      <c r="R298" t="s">
        <v>1355</v>
      </c>
      <c r="S298" t="s">
        <v>132</v>
      </c>
      <c r="T298" t="s">
        <v>119</v>
      </c>
      <c r="U298" t="s">
        <v>119</v>
      </c>
      <c r="V298" t="s">
        <v>119</v>
      </c>
      <c r="W298">
        <v>0</v>
      </c>
      <c r="X298">
        <v>0</v>
      </c>
    </row>
    <row r="299" spans="1:24" x14ac:dyDescent="0.25">
      <c r="A299">
        <v>34536488</v>
      </c>
      <c r="B299" t="s">
        <v>1588</v>
      </c>
      <c r="C299" t="s">
        <v>1589</v>
      </c>
      <c r="D299" t="s">
        <v>1590</v>
      </c>
      <c r="E299" t="s">
        <v>1591</v>
      </c>
      <c r="F299" t="s">
        <v>1592</v>
      </c>
      <c r="G299" t="s">
        <v>1593</v>
      </c>
      <c r="H299">
        <v>0</v>
      </c>
      <c r="I299">
        <v>4.12</v>
      </c>
      <c r="J299" t="s">
        <v>1594</v>
      </c>
      <c r="K299" t="s">
        <v>1423</v>
      </c>
      <c r="L299">
        <v>592</v>
      </c>
      <c r="M299">
        <v>2017</v>
      </c>
      <c r="N299">
        <v>2017</v>
      </c>
      <c r="O299" s="2"/>
      <c r="P299" s="2">
        <v>43941</v>
      </c>
      <c r="Q299" t="s">
        <v>132</v>
      </c>
      <c r="R299" t="s">
        <v>1595</v>
      </c>
      <c r="S299" t="s">
        <v>132</v>
      </c>
      <c r="T299" t="s">
        <v>119</v>
      </c>
      <c r="U299" t="s">
        <v>119</v>
      </c>
      <c r="V299" t="s">
        <v>119</v>
      </c>
      <c r="W299">
        <v>0</v>
      </c>
      <c r="X299">
        <v>0</v>
      </c>
    </row>
    <row r="300" spans="1:24" x14ac:dyDescent="0.25">
      <c r="A300">
        <v>1846145</v>
      </c>
      <c r="B300" t="s">
        <v>2074</v>
      </c>
      <c r="C300" t="s">
        <v>2075</v>
      </c>
      <c r="D300" t="s">
        <v>2076</v>
      </c>
      <c r="E300" t="s">
        <v>119</v>
      </c>
      <c r="F300" t="s">
        <v>120</v>
      </c>
      <c r="G300" t="s">
        <v>120</v>
      </c>
      <c r="H300">
        <v>4</v>
      </c>
      <c r="I300">
        <v>3.83</v>
      </c>
      <c r="J300" t="s">
        <v>156</v>
      </c>
      <c r="K300" t="s">
        <v>140</v>
      </c>
      <c r="L300">
        <v>217</v>
      </c>
      <c r="M300">
        <v>1985</v>
      </c>
      <c r="N300">
        <v>2007</v>
      </c>
      <c r="O300" s="2"/>
      <c r="P300" s="2">
        <v>43510</v>
      </c>
      <c r="Q300" t="s">
        <v>1946</v>
      </c>
      <c r="R300" t="s">
        <v>2077</v>
      </c>
      <c r="S300" t="s">
        <v>125</v>
      </c>
      <c r="T300" t="s">
        <v>119</v>
      </c>
      <c r="U300" t="s">
        <v>119</v>
      </c>
      <c r="V300" t="s">
        <v>119</v>
      </c>
      <c r="W300">
        <v>1</v>
      </c>
      <c r="X300">
        <v>0</v>
      </c>
    </row>
    <row r="301" spans="1:24" x14ac:dyDescent="0.25">
      <c r="A301">
        <v>41015217</v>
      </c>
      <c r="B301" t="s">
        <v>1959</v>
      </c>
      <c r="C301" t="s">
        <v>1960</v>
      </c>
      <c r="D301" t="s">
        <v>1961</v>
      </c>
      <c r="E301" t="s">
        <v>119</v>
      </c>
      <c r="F301" t="s">
        <v>120</v>
      </c>
      <c r="G301" t="s">
        <v>120</v>
      </c>
      <c r="H301">
        <v>0</v>
      </c>
      <c r="I301">
        <v>3.84</v>
      </c>
      <c r="J301" t="s">
        <v>751</v>
      </c>
      <c r="K301" t="s">
        <v>122</v>
      </c>
      <c r="L301">
        <v>256</v>
      </c>
      <c r="M301">
        <v>2018</v>
      </c>
      <c r="N301">
        <v>2007</v>
      </c>
      <c r="O301" s="2"/>
      <c r="P301" s="2">
        <v>43599</v>
      </c>
      <c r="Q301" t="s">
        <v>132</v>
      </c>
      <c r="R301" t="s">
        <v>1962</v>
      </c>
      <c r="S301" t="s">
        <v>132</v>
      </c>
      <c r="T301" t="s">
        <v>119</v>
      </c>
      <c r="U301" t="s">
        <v>119</v>
      </c>
      <c r="V301" t="s">
        <v>119</v>
      </c>
      <c r="W301">
        <v>0</v>
      </c>
      <c r="X301">
        <v>0</v>
      </c>
    </row>
    <row r="302" spans="1:24" x14ac:dyDescent="0.25">
      <c r="A302">
        <v>32999204</v>
      </c>
      <c r="B302" t="s">
        <v>2433</v>
      </c>
      <c r="C302" t="s">
        <v>2434</v>
      </c>
      <c r="D302" t="s">
        <v>2435</v>
      </c>
      <c r="E302" t="s">
        <v>119</v>
      </c>
      <c r="F302" t="s">
        <v>2436</v>
      </c>
      <c r="G302" t="s">
        <v>2437</v>
      </c>
      <c r="H302">
        <v>0</v>
      </c>
      <c r="I302">
        <v>4.25</v>
      </c>
      <c r="J302" t="s">
        <v>2404</v>
      </c>
      <c r="K302" t="s">
        <v>140</v>
      </c>
      <c r="L302">
        <v>200</v>
      </c>
      <c r="M302">
        <v>2016</v>
      </c>
      <c r="N302">
        <v>2016</v>
      </c>
      <c r="O302" s="2"/>
      <c r="P302" s="2">
        <v>42968</v>
      </c>
      <c r="Q302" t="s">
        <v>2438</v>
      </c>
      <c r="R302" t="s">
        <v>2439</v>
      </c>
      <c r="S302" t="s">
        <v>132</v>
      </c>
      <c r="T302" t="s">
        <v>119</v>
      </c>
      <c r="U302" t="s">
        <v>119</v>
      </c>
      <c r="V302" t="s">
        <v>119</v>
      </c>
      <c r="W302">
        <v>0</v>
      </c>
      <c r="X302">
        <v>0</v>
      </c>
    </row>
    <row r="303" spans="1:24" x14ac:dyDescent="0.25">
      <c r="A303">
        <v>641604</v>
      </c>
      <c r="B303" t="s">
        <v>1560</v>
      </c>
      <c r="C303" t="s">
        <v>44</v>
      </c>
      <c r="D303" t="s">
        <v>1160</v>
      </c>
      <c r="E303" t="s">
        <v>119</v>
      </c>
      <c r="F303" t="s">
        <v>1561</v>
      </c>
      <c r="G303" t="s">
        <v>1562</v>
      </c>
      <c r="H303">
        <v>0</v>
      </c>
      <c r="I303">
        <v>3.78</v>
      </c>
      <c r="J303" t="s">
        <v>1266</v>
      </c>
      <c r="K303" t="s">
        <v>147</v>
      </c>
      <c r="L303">
        <v>160</v>
      </c>
      <c r="M303">
        <v>2003</v>
      </c>
      <c r="N303">
        <v>2003</v>
      </c>
      <c r="O303" s="2"/>
      <c r="P303" s="2">
        <v>43961</v>
      </c>
      <c r="Q303" t="s">
        <v>132</v>
      </c>
      <c r="R303" t="s">
        <v>1563</v>
      </c>
      <c r="S303" t="s">
        <v>132</v>
      </c>
      <c r="T303" t="s">
        <v>119</v>
      </c>
      <c r="U303" t="s">
        <v>119</v>
      </c>
      <c r="V303" t="s">
        <v>119</v>
      </c>
      <c r="W303">
        <v>0</v>
      </c>
      <c r="X303">
        <v>0</v>
      </c>
    </row>
    <row r="304" spans="1:24" x14ac:dyDescent="0.25">
      <c r="A304">
        <v>5552</v>
      </c>
      <c r="B304" t="s">
        <v>1374</v>
      </c>
      <c r="C304" t="s">
        <v>1375</v>
      </c>
      <c r="D304" t="s">
        <v>1376</v>
      </c>
      <c r="E304" t="s">
        <v>119</v>
      </c>
      <c r="F304" t="s">
        <v>1377</v>
      </c>
      <c r="G304" t="s">
        <v>1378</v>
      </c>
      <c r="H304">
        <v>4</v>
      </c>
      <c r="I304">
        <v>4.26</v>
      </c>
      <c r="J304" t="s">
        <v>1379</v>
      </c>
      <c r="K304" t="s">
        <v>140</v>
      </c>
      <c r="L304">
        <v>158</v>
      </c>
      <c r="M304">
        <v>1988</v>
      </c>
      <c r="N304">
        <v>1985</v>
      </c>
      <c r="O304" s="2"/>
      <c r="P304" s="2">
        <v>44069</v>
      </c>
      <c r="Q304" t="s">
        <v>119</v>
      </c>
      <c r="R304" t="s">
        <v>119</v>
      </c>
      <c r="S304" t="s">
        <v>125</v>
      </c>
      <c r="T304" t="s">
        <v>119</v>
      </c>
      <c r="U304" t="s">
        <v>119</v>
      </c>
      <c r="V304" t="s">
        <v>119</v>
      </c>
      <c r="W304">
        <v>1</v>
      </c>
      <c r="X304">
        <v>0</v>
      </c>
    </row>
    <row r="305" spans="1:24" x14ac:dyDescent="0.25">
      <c r="A305">
        <v>1519572</v>
      </c>
      <c r="B305" t="s">
        <v>2094</v>
      </c>
      <c r="C305" t="s">
        <v>2062</v>
      </c>
      <c r="D305" t="s">
        <v>2063</v>
      </c>
      <c r="E305" t="s">
        <v>119</v>
      </c>
      <c r="F305" t="s">
        <v>2095</v>
      </c>
      <c r="G305" t="s">
        <v>2096</v>
      </c>
      <c r="H305">
        <v>4</v>
      </c>
      <c r="I305">
        <v>3.67</v>
      </c>
      <c r="J305" t="s">
        <v>156</v>
      </c>
      <c r="K305" t="s">
        <v>157</v>
      </c>
      <c r="L305">
        <v>308</v>
      </c>
      <c r="M305">
        <v>1985</v>
      </c>
      <c r="N305">
        <v>1948</v>
      </c>
      <c r="O305" s="2"/>
      <c r="P305" s="2">
        <v>43508</v>
      </c>
      <c r="Q305" t="s">
        <v>119</v>
      </c>
      <c r="R305" t="s">
        <v>119</v>
      </c>
      <c r="S305" t="s">
        <v>125</v>
      </c>
      <c r="T305" t="s">
        <v>119</v>
      </c>
      <c r="U305" t="s">
        <v>119</v>
      </c>
      <c r="V305" t="s">
        <v>119</v>
      </c>
      <c r="W305">
        <v>1</v>
      </c>
      <c r="X305">
        <v>0</v>
      </c>
    </row>
    <row r="306" spans="1:24" x14ac:dyDescent="0.25">
      <c r="A306">
        <v>43811212</v>
      </c>
      <c r="B306" t="s">
        <v>619</v>
      </c>
      <c r="C306" t="s">
        <v>620</v>
      </c>
      <c r="D306" t="s">
        <v>621</v>
      </c>
      <c r="E306" t="s">
        <v>119</v>
      </c>
      <c r="F306" t="s">
        <v>622</v>
      </c>
      <c r="G306" t="s">
        <v>623</v>
      </c>
      <c r="H306">
        <v>0</v>
      </c>
      <c r="I306">
        <v>3.82</v>
      </c>
      <c r="J306" t="s">
        <v>624</v>
      </c>
      <c r="K306" t="s">
        <v>140</v>
      </c>
      <c r="L306">
        <v>393</v>
      </c>
      <c r="M306">
        <v>2019</v>
      </c>
      <c r="N306">
        <v>2019</v>
      </c>
      <c r="O306" s="2"/>
      <c r="P306" s="2">
        <v>44583</v>
      </c>
      <c r="Q306" t="s">
        <v>625</v>
      </c>
      <c r="R306" t="s">
        <v>626</v>
      </c>
      <c r="S306" t="s">
        <v>265</v>
      </c>
      <c r="T306" t="s">
        <v>119</v>
      </c>
      <c r="U306" t="s">
        <v>119</v>
      </c>
      <c r="V306" t="s">
        <v>119</v>
      </c>
      <c r="W306">
        <v>1</v>
      </c>
      <c r="X306">
        <v>0</v>
      </c>
    </row>
    <row r="307" spans="1:24" x14ac:dyDescent="0.25">
      <c r="A307">
        <v>45487313</v>
      </c>
      <c r="B307" t="s">
        <v>619</v>
      </c>
      <c r="C307" t="s">
        <v>620</v>
      </c>
      <c r="D307" t="s">
        <v>621</v>
      </c>
      <c r="E307" t="s">
        <v>119</v>
      </c>
      <c r="F307" t="s">
        <v>120</v>
      </c>
      <c r="G307" t="s">
        <v>120</v>
      </c>
      <c r="H307">
        <v>0</v>
      </c>
      <c r="I307">
        <v>3.82</v>
      </c>
      <c r="J307" t="s">
        <v>210</v>
      </c>
      <c r="K307" t="s">
        <v>122</v>
      </c>
      <c r="L307">
        <v>416</v>
      </c>
      <c r="M307">
        <v>2019</v>
      </c>
      <c r="N307">
        <v>2019</v>
      </c>
      <c r="O307" s="2"/>
      <c r="P307" s="2">
        <v>44082</v>
      </c>
      <c r="Q307" t="s">
        <v>132</v>
      </c>
      <c r="R307" t="s">
        <v>1322</v>
      </c>
      <c r="S307" t="s">
        <v>132</v>
      </c>
      <c r="T307" t="s">
        <v>119</v>
      </c>
      <c r="U307" t="s">
        <v>119</v>
      </c>
      <c r="V307" t="s">
        <v>119</v>
      </c>
      <c r="W307">
        <v>0</v>
      </c>
      <c r="X307">
        <v>0</v>
      </c>
    </row>
    <row r="308" spans="1:24" x14ac:dyDescent="0.25">
      <c r="A308">
        <v>8520610</v>
      </c>
      <c r="B308" t="s">
        <v>2019</v>
      </c>
      <c r="C308" t="s">
        <v>21</v>
      </c>
      <c r="D308" t="s">
        <v>221</v>
      </c>
      <c r="E308" t="s">
        <v>119</v>
      </c>
      <c r="F308" t="s">
        <v>2020</v>
      </c>
      <c r="G308" t="s">
        <v>2021</v>
      </c>
      <c r="H308">
        <v>0</v>
      </c>
      <c r="I308">
        <v>4.07</v>
      </c>
      <c r="J308" t="s">
        <v>2022</v>
      </c>
      <c r="K308" t="s">
        <v>147</v>
      </c>
      <c r="L308">
        <v>333</v>
      </c>
      <c r="M308">
        <v>2012</v>
      </c>
      <c r="N308">
        <v>2012</v>
      </c>
      <c r="O308" s="2"/>
      <c r="P308" s="2">
        <v>43545</v>
      </c>
      <c r="Q308" t="s">
        <v>132</v>
      </c>
      <c r="R308" t="s">
        <v>2023</v>
      </c>
      <c r="S308" t="s">
        <v>132</v>
      </c>
      <c r="T308" t="s">
        <v>119</v>
      </c>
      <c r="U308" t="s">
        <v>119</v>
      </c>
      <c r="V308" t="s">
        <v>119</v>
      </c>
      <c r="W308">
        <v>0</v>
      </c>
      <c r="X308">
        <v>0</v>
      </c>
    </row>
    <row r="309" spans="1:24" x14ac:dyDescent="0.25">
      <c r="A309">
        <v>29939161</v>
      </c>
      <c r="B309" t="s">
        <v>514</v>
      </c>
      <c r="C309" t="s">
        <v>515</v>
      </c>
      <c r="D309" t="s">
        <v>516</v>
      </c>
      <c r="E309" t="s">
        <v>119</v>
      </c>
      <c r="F309" t="s">
        <v>517</v>
      </c>
      <c r="G309" t="s">
        <v>518</v>
      </c>
      <c r="H309">
        <v>4</v>
      </c>
      <c r="I309">
        <v>4.09</v>
      </c>
      <c r="J309" t="s">
        <v>519</v>
      </c>
      <c r="K309" t="s">
        <v>147</v>
      </c>
      <c r="L309">
        <v>336</v>
      </c>
      <c r="M309">
        <v>2017</v>
      </c>
      <c r="N309">
        <v>2017</v>
      </c>
      <c r="O309" s="2">
        <v>44668</v>
      </c>
      <c r="P309" s="2">
        <v>44230</v>
      </c>
      <c r="Q309" t="s">
        <v>119</v>
      </c>
      <c r="R309" t="s">
        <v>119</v>
      </c>
      <c r="S309" t="s">
        <v>125</v>
      </c>
      <c r="T309" t="s">
        <v>119</v>
      </c>
      <c r="U309" t="s">
        <v>119</v>
      </c>
      <c r="V309" t="s">
        <v>119</v>
      </c>
      <c r="W309">
        <v>1</v>
      </c>
      <c r="X309">
        <v>0</v>
      </c>
    </row>
    <row r="310" spans="1:24" x14ac:dyDescent="0.25">
      <c r="A310">
        <v>41795733</v>
      </c>
      <c r="B310" t="s">
        <v>803</v>
      </c>
      <c r="C310" t="s">
        <v>804</v>
      </c>
      <c r="D310" t="s">
        <v>805</v>
      </c>
      <c r="E310" t="s">
        <v>119</v>
      </c>
      <c r="F310" t="s">
        <v>806</v>
      </c>
      <c r="G310" t="s">
        <v>807</v>
      </c>
      <c r="H310">
        <v>5</v>
      </c>
      <c r="I310">
        <v>4.1500000000000004</v>
      </c>
      <c r="J310" t="s">
        <v>184</v>
      </c>
      <c r="K310" t="s">
        <v>147</v>
      </c>
      <c r="L310">
        <v>352</v>
      </c>
      <c r="M310">
        <v>2019</v>
      </c>
      <c r="N310">
        <v>2019</v>
      </c>
      <c r="O310" s="2">
        <v>44511</v>
      </c>
      <c r="P310" s="2">
        <v>43826</v>
      </c>
      <c r="Q310" t="s">
        <v>119</v>
      </c>
      <c r="R310" t="s">
        <v>119</v>
      </c>
      <c r="S310" t="s">
        <v>125</v>
      </c>
      <c r="T310" t="s">
        <v>808</v>
      </c>
      <c r="U310" t="s">
        <v>119</v>
      </c>
      <c r="V310" t="s">
        <v>119</v>
      </c>
      <c r="W310">
        <v>1</v>
      </c>
      <c r="X310">
        <v>0</v>
      </c>
    </row>
    <row r="311" spans="1:24" x14ac:dyDescent="0.25">
      <c r="A311">
        <v>52863343</v>
      </c>
      <c r="B311" t="s">
        <v>676</v>
      </c>
      <c r="C311" t="s">
        <v>439</v>
      </c>
      <c r="D311" t="s">
        <v>440</v>
      </c>
      <c r="E311" t="s">
        <v>119</v>
      </c>
      <c r="F311" t="s">
        <v>677</v>
      </c>
      <c r="G311" t="s">
        <v>678</v>
      </c>
      <c r="H311">
        <v>0</v>
      </c>
      <c r="I311">
        <v>4.0999999999999996</v>
      </c>
      <c r="J311" t="s">
        <v>679</v>
      </c>
      <c r="K311" t="s">
        <v>147</v>
      </c>
      <c r="L311">
        <v>240</v>
      </c>
      <c r="M311">
        <v>2020</v>
      </c>
      <c r="O311" s="2"/>
      <c r="P311" s="2">
        <v>44578</v>
      </c>
      <c r="Q311" t="s">
        <v>132</v>
      </c>
      <c r="R311" t="s">
        <v>680</v>
      </c>
      <c r="S311" t="s">
        <v>132</v>
      </c>
      <c r="T311" t="s">
        <v>119</v>
      </c>
      <c r="U311" t="s">
        <v>119</v>
      </c>
      <c r="V311" t="s">
        <v>119</v>
      </c>
      <c r="W311">
        <v>0</v>
      </c>
      <c r="X311">
        <v>0</v>
      </c>
    </row>
    <row r="312" spans="1:24" x14ac:dyDescent="0.25">
      <c r="A312">
        <v>49913579</v>
      </c>
      <c r="B312" t="s">
        <v>897</v>
      </c>
      <c r="C312" t="s">
        <v>439</v>
      </c>
      <c r="D312" t="s">
        <v>440</v>
      </c>
      <c r="E312" t="s">
        <v>119</v>
      </c>
      <c r="F312" t="s">
        <v>898</v>
      </c>
      <c r="G312" t="s">
        <v>899</v>
      </c>
      <c r="H312">
        <v>4</v>
      </c>
      <c r="I312">
        <v>3.96</v>
      </c>
      <c r="J312" t="s">
        <v>725</v>
      </c>
      <c r="K312" t="s">
        <v>140</v>
      </c>
      <c r="L312">
        <v>240</v>
      </c>
      <c r="M312">
        <v>2019</v>
      </c>
      <c r="N312">
        <v>2011</v>
      </c>
      <c r="O312" s="2">
        <v>44437</v>
      </c>
      <c r="P312" s="2">
        <v>44094</v>
      </c>
      <c r="Q312" t="s">
        <v>119</v>
      </c>
      <c r="R312" t="s">
        <v>119</v>
      </c>
      <c r="S312" t="s">
        <v>125</v>
      </c>
      <c r="T312" t="s">
        <v>119</v>
      </c>
      <c r="U312" t="s">
        <v>119</v>
      </c>
      <c r="V312" t="s">
        <v>119</v>
      </c>
      <c r="W312">
        <v>1</v>
      </c>
      <c r="X312">
        <v>0</v>
      </c>
    </row>
    <row r="313" spans="1:24" x14ac:dyDescent="0.25">
      <c r="A313">
        <v>31848286</v>
      </c>
      <c r="B313" t="s">
        <v>2274</v>
      </c>
      <c r="C313" t="s">
        <v>439</v>
      </c>
      <c r="D313" t="s">
        <v>440</v>
      </c>
      <c r="E313" t="s">
        <v>119</v>
      </c>
      <c r="F313" t="s">
        <v>2275</v>
      </c>
      <c r="G313" t="s">
        <v>2276</v>
      </c>
      <c r="H313">
        <v>0</v>
      </c>
      <c r="I313">
        <v>4.17</v>
      </c>
      <c r="J313" t="s">
        <v>679</v>
      </c>
      <c r="K313" t="s">
        <v>147</v>
      </c>
      <c r="L313">
        <v>320</v>
      </c>
      <c r="M313">
        <v>2017</v>
      </c>
      <c r="N313">
        <v>2017</v>
      </c>
      <c r="O313" s="2"/>
      <c r="P313" s="2">
        <v>43360</v>
      </c>
      <c r="Q313" t="s">
        <v>132</v>
      </c>
      <c r="R313" t="s">
        <v>2277</v>
      </c>
      <c r="S313" t="s">
        <v>132</v>
      </c>
      <c r="T313" t="s">
        <v>119</v>
      </c>
      <c r="U313" t="s">
        <v>119</v>
      </c>
      <c r="V313" t="s">
        <v>119</v>
      </c>
      <c r="W313">
        <v>0</v>
      </c>
      <c r="X313">
        <v>0</v>
      </c>
    </row>
    <row r="314" spans="1:24" x14ac:dyDescent="0.25">
      <c r="A314">
        <v>29767627</v>
      </c>
      <c r="B314" t="s">
        <v>994</v>
      </c>
      <c r="C314" t="s">
        <v>995</v>
      </c>
      <c r="D314" t="s">
        <v>996</v>
      </c>
      <c r="E314" t="s">
        <v>119</v>
      </c>
      <c r="F314" t="s">
        <v>997</v>
      </c>
      <c r="G314" t="s">
        <v>998</v>
      </c>
      <c r="H314">
        <v>5</v>
      </c>
      <c r="I314">
        <v>4.33</v>
      </c>
      <c r="J314" t="s">
        <v>775</v>
      </c>
      <c r="K314" t="s">
        <v>147</v>
      </c>
      <c r="L314">
        <v>256</v>
      </c>
      <c r="M314">
        <v>2016</v>
      </c>
      <c r="N314">
        <v>2014</v>
      </c>
      <c r="O314" s="2">
        <v>44303</v>
      </c>
      <c r="P314" s="2">
        <v>43944</v>
      </c>
      <c r="Q314" t="s">
        <v>119</v>
      </c>
      <c r="R314" t="s">
        <v>119</v>
      </c>
      <c r="S314" t="s">
        <v>125</v>
      </c>
      <c r="T314" t="s">
        <v>119</v>
      </c>
      <c r="U314" t="s">
        <v>119</v>
      </c>
      <c r="V314" t="s">
        <v>119</v>
      </c>
      <c r="W314">
        <v>1</v>
      </c>
      <c r="X314">
        <v>0</v>
      </c>
    </row>
    <row r="315" spans="1:24" x14ac:dyDescent="0.25">
      <c r="A315">
        <v>35068803</v>
      </c>
      <c r="B315" t="s">
        <v>1171</v>
      </c>
      <c r="C315" t="s">
        <v>1172</v>
      </c>
      <c r="D315" t="s">
        <v>1173</v>
      </c>
      <c r="E315" t="s">
        <v>119</v>
      </c>
      <c r="F315" t="s">
        <v>1174</v>
      </c>
      <c r="G315" t="s">
        <v>1175</v>
      </c>
      <c r="H315">
        <v>4</v>
      </c>
      <c r="I315">
        <v>3.76</v>
      </c>
      <c r="J315" t="s">
        <v>1176</v>
      </c>
      <c r="K315" t="s">
        <v>273</v>
      </c>
      <c r="L315">
        <v>304</v>
      </c>
      <c r="M315">
        <v>2018</v>
      </c>
      <c r="N315">
        <v>2018</v>
      </c>
      <c r="O315" s="2">
        <v>44185</v>
      </c>
      <c r="P315" s="2">
        <v>44076</v>
      </c>
      <c r="Q315" t="s">
        <v>119</v>
      </c>
      <c r="R315" t="s">
        <v>119</v>
      </c>
      <c r="S315" t="s">
        <v>125</v>
      </c>
      <c r="T315" t="s">
        <v>119</v>
      </c>
      <c r="U315" t="s">
        <v>119</v>
      </c>
      <c r="V315" t="s">
        <v>119</v>
      </c>
      <c r="W315">
        <v>1</v>
      </c>
      <c r="X315">
        <v>0</v>
      </c>
    </row>
    <row r="316" spans="1:24" x14ac:dyDescent="0.25">
      <c r="A316">
        <v>33638850</v>
      </c>
      <c r="B316" t="s">
        <v>2528</v>
      </c>
      <c r="C316" t="s">
        <v>560</v>
      </c>
      <c r="D316" t="s">
        <v>561</v>
      </c>
      <c r="E316" t="s">
        <v>119</v>
      </c>
      <c r="F316" t="s">
        <v>120</v>
      </c>
      <c r="G316" t="s">
        <v>120</v>
      </c>
      <c r="H316">
        <v>0</v>
      </c>
      <c r="I316">
        <v>3.82</v>
      </c>
      <c r="J316" t="s">
        <v>2529</v>
      </c>
      <c r="K316" t="s">
        <v>122</v>
      </c>
      <c r="L316">
        <v>378</v>
      </c>
      <c r="M316">
        <v>2017</v>
      </c>
      <c r="N316">
        <v>2017</v>
      </c>
      <c r="O316" s="2"/>
      <c r="P316" s="2">
        <v>42850</v>
      </c>
      <c r="Q316" t="s">
        <v>2530</v>
      </c>
      <c r="R316" t="s">
        <v>2531</v>
      </c>
      <c r="S316" t="s">
        <v>132</v>
      </c>
      <c r="T316" t="s">
        <v>119</v>
      </c>
      <c r="U316" t="s">
        <v>119</v>
      </c>
      <c r="V316" t="s">
        <v>119</v>
      </c>
      <c r="W316">
        <v>0</v>
      </c>
      <c r="X316">
        <v>0</v>
      </c>
    </row>
    <row r="317" spans="1:24" x14ac:dyDescent="0.25">
      <c r="A317">
        <v>20787425</v>
      </c>
      <c r="B317" t="s">
        <v>1086</v>
      </c>
      <c r="C317" t="s">
        <v>1087</v>
      </c>
      <c r="D317" t="s">
        <v>1088</v>
      </c>
      <c r="E317" t="s">
        <v>1089</v>
      </c>
      <c r="F317" t="s">
        <v>120</v>
      </c>
      <c r="G317" t="s">
        <v>120</v>
      </c>
      <c r="H317">
        <v>5</v>
      </c>
      <c r="I317">
        <v>4.21</v>
      </c>
      <c r="J317" t="s">
        <v>1090</v>
      </c>
      <c r="K317" t="s">
        <v>122</v>
      </c>
      <c r="L317">
        <v>382</v>
      </c>
      <c r="M317">
        <v>2014</v>
      </c>
      <c r="N317">
        <v>2014</v>
      </c>
      <c r="O317" s="2">
        <v>44214</v>
      </c>
      <c r="P317" s="2">
        <v>44192</v>
      </c>
      <c r="Q317" t="s">
        <v>119</v>
      </c>
      <c r="R317" t="s">
        <v>119</v>
      </c>
      <c r="S317" t="s">
        <v>125</v>
      </c>
      <c r="T317" t="s">
        <v>654</v>
      </c>
      <c r="U317" t="s">
        <v>119</v>
      </c>
      <c r="V317" t="s">
        <v>119</v>
      </c>
      <c r="W317">
        <v>1</v>
      </c>
      <c r="X317">
        <v>0</v>
      </c>
    </row>
    <row r="318" spans="1:24" x14ac:dyDescent="0.25">
      <c r="A318">
        <v>54109219</v>
      </c>
      <c r="B318" t="s">
        <v>446</v>
      </c>
      <c r="C318" t="s">
        <v>447</v>
      </c>
      <c r="D318" t="s">
        <v>448</v>
      </c>
      <c r="E318" t="s">
        <v>119</v>
      </c>
      <c r="F318" t="s">
        <v>449</v>
      </c>
      <c r="G318" t="s">
        <v>450</v>
      </c>
      <c r="H318">
        <v>0</v>
      </c>
      <c r="I318">
        <v>3.33</v>
      </c>
      <c r="J318" t="s">
        <v>381</v>
      </c>
      <c r="K318" t="s">
        <v>273</v>
      </c>
      <c r="L318">
        <v>240</v>
      </c>
      <c r="M318">
        <v>2021</v>
      </c>
      <c r="O318" s="2"/>
      <c r="P318" s="2">
        <v>44761</v>
      </c>
      <c r="Q318" t="s">
        <v>132</v>
      </c>
      <c r="R318" t="s">
        <v>451</v>
      </c>
      <c r="S318" t="s">
        <v>132</v>
      </c>
      <c r="T318" t="s">
        <v>119</v>
      </c>
      <c r="U318" t="s">
        <v>119</v>
      </c>
      <c r="V318" t="s">
        <v>119</v>
      </c>
      <c r="W318">
        <v>0</v>
      </c>
      <c r="X318">
        <v>0</v>
      </c>
    </row>
    <row r="319" spans="1:24" x14ac:dyDescent="0.25">
      <c r="A319">
        <v>17316682</v>
      </c>
      <c r="B319" t="s">
        <v>2364</v>
      </c>
      <c r="C319" t="s">
        <v>378</v>
      </c>
      <c r="D319" t="s">
        <v>2365</v>
      </c>
      <c r="E319" t="s">
        <v>2366</v>
      </c>
      <c r="F319" t="s">
        <v>2367</v>
      </c>
      <c r="G319" t="s">
        <v>2368</v>
      </c>
      <c r="H319">
        <v>4</v>
      </c>
      <c r="I319">
        <v>3.79</v>
      </c>
      <c r="J319" t="s">
        <v>2369</v>
      </c>
      <c r="K319" t="s">
        <v>2370</v>
      </c>
      <c r="L319">
        <v>256</v>
      </c>
      <c r="M319">
        <v>2013</v>
      </c>
      <c r="N319">
        <v>2013</v>
      </c>
      <c r="O319" s="2"/>
      <c r="P319" s="2">
        <v>43079</v>
      </c>
      <c r="Q319" t="s">
        <v>830</v>
      </c>
      <c r="R319" t="s">
        <v>2371</v>
      </c>
      <c r="S319" t="s">
        <v>125</v>
      </c>
      <c r="T319" t="s">
        <v>119</v>
      </c>
      <c r="U319" t="s">
        <v>119</v>
      </c>
      <c r="V319" t="s">
        <v>119</v>
      </c>
      <c r="W319">
        <v>1</v>
      </c>
      <c r="X319">
        <v>0</v>
      </c>
    </row>
    <row r="320" spans="1:24" x14ac:dyDescent="0.25">
      <c r="A320">
        <v>36025434</v>
      </c>
      <c r="B320" t="s">
        <v>1662</v>
      </c>
      <c r="C320" t="s">
        <v>359</v>
      </c>
      <c r="D320" t="s">
        <v>360</v>
      </c>
      <c r="E320" t="s">
        <v>119</v>
      </c>
      <c r="F320" t="s">
        <v>1663</v>
      </c>
      <c r="G320" t="s">
        <v>1664</v>
      </c>
      <c r="H320">
        <v>0</v>
      </c>
      <c r="I320">
        <v>3.79</v>
      </c>
      <c r="J320" t="s">
        <v>163</v>
      </c>
      <c r="K320" t="s">
        <v>147</v>
      </c>
      <c r="L320">
        <v>304</v>
      </c>
      <c r="M320">
        <v>2018</v>
      </c>
      <c r="N320">
        <v>2018</v>
      </c>
      <c r="O320" s="2"/>
      <c r="P320" s="2">
        <v>43907</v>
      </c>
      <c r="Q320" t="s">
        <v>132</v>
      </c>
      <c r="R320" t="s">
        <v>1665</v>
      </c>
      <c r="S320" t="s">
        <v>132</v>
      </c>
      <c r="T320" t="s">
        <v>119</v>
      </c>
      <c r="U320" t="s">
        <v>119</v>
      </c>
      <c r="V320" t="s">
        <v>119</v>
      </c>
      <c r="W320">
        <v>0</v>
      </c>
      <c r="X320">
        <v>0</v>
      </c>
    </row>
    <row r="321" spans="1:24" x14ac:dyDescent="0.25">
      <c r="A321">
        <v>6732019</v>
      </c>
      <c r="B321" t="s">
        <v>2738</v>
      </c>
      <c r="C321" t="s">
        <v>376</v>
      </c>
      <c r="D321" t="s">
        <v>377</v>
      </c>
      <c r="E321" t="s">
        <v>378</v>
      </c>
      <c r="F321" t="s">
        <v>2739</v>
      </c>
      <c r="G321" t="s">
        <v>2740</v>
      </c>
      <c r="H321">
        <v>4</v>
      </c>
      <c r="I321">
        <v>3.97</v>
      </c>
      <c r="J321" t="s">
        <v>1330</v>
      </c>
      <c r="K321" t="s">
        <v>147</v>
      </c>
      <c r="L321">
        <v>279</v>
      </c>
      <c r="M321">
        <v>2010</v>
      </c>
      <c r="N321">
        <v>2010</v>
      </c>
      <c r="O321" s="2"/>
      <c r="P321" s="2">
        <v>42165</v>
      </c>
      <c r="Q321" t="s">
        <v>830</v>
      </c>
      <c r="R321" t="s">
        <v>2741</v>
      </c>
      <c r="S321" t="s">
        <v>125</v>
      </c>
      <c r="T321" t="s">
        <v>119</v>
      </c>
      <c r="U321" t="s">
        <v>119</v>
      </c>
      <c r="V321" t="s">
        <v>119</v>
      </c>
      <c r="W321">
        <v>1</v>
      </c>
      <c r="X321">
        <v>0</v>
      </c>
    </row>
    <row r="322" spans="1:24" x14ac:dyDescent="0.25">
      <c r="A322">
        <v>69571</v>
      </c>
      <c r="B322" t="s">
        <v>1190</v>
      </c>
      <c r="C322" t="s">
        <v>1191</v>
      </c>
      <c r="D322" t="s">
        <v>1192</v>
      </c>
      <c r="E322" t="s">
        <v>1193</v>
      </c>
      <c r="F322" t="s">
        <v>1194</v>
      </c>
      <c r="G322" t="s">
        <v>1195</v>
      </c>
      <c r="H322">
        <v>0</v>
      </c>
      <c r="I322">
        <v>4.12</v>
      </c>
      <c r="J322" t="s">
        <v>1196</v>
      </c>
      <c r="K322" t="s">
        <v>140</v>
      </c>
      <c r="L322">
        <v>195</v>
      </c>
      <c r="M322">
        <v>2007</v>
      </c>
      <c r="N322">
        <v>1997</v>
      </c>
      <c r="O322" s="2"/>
      <c r="P322" s="2">
        <v>44182</v>
      </c>
      <c r="Q322" t="s">
        <v>132</v>
      </c>
      <c r="R322" t="s">
        <v>1197</v>
      </c>
      <c r="S322" t="s">
        <v>132</v>
      </c>
      <c r="T322" t="s">
        <v>119</v>
      </c>
      <c r="U322" t="s">
        <v>119</v>
      </c>
      <c r="V322" t="s">
        <v>119</v>
      </c>
      <c r="W322">
        <v>0</v>
      </c>
      <c r="X322">
        <v>0</v>
      </c>
    </row>
    <row r="323" spans="1:24" x14ac:dyDescent="0.25">
      <c r="A323">
        <v>25107546</v>
      </c>
      <c r="B323" t="s">
        <v>354</v>
      </c>
      <c r="C323" t="s">
        <v>350</v>
      </c>
      <c r="D323" t="s">
        <v>351</v>
      </c>
      <c r="E323" t="s">
        <v>119</v>
      </c>
      <c r="F323" t="s">
        <v>120</v>
      </c>
      <c r="G323" t="s">
        <v>120</v>
      </c>
      <c r="H323">
        <v>0</v>
      </c>
      <c r="I323">
        <v>4.8</v>
      </c>
      <c r="J323" t="s">
        <v>352</v>
      </c>
      <c r="K323" t="s">
        <v>122</v>
      </c>
      <c r="M323">
        <v>2015</v>
      </c>
      <c r="N323">
        <v>2015</v>
      </c>
      <c r="O323" s="2"/>
      <c r="P323" s="2">
        <v>44867</v>
      </c>
      <c r="Q323" t="s">
        <v>132</v>
      </c>
      <c r="R323" t="s">
        <v>355</v>
      </c>
      <c r="S323" t="s">
        <v>132</v>
      </c>
      <c r="T323" t="s">
        <v>119</v>
      </c>
      <c r="U323" t="s">
        <v>119</v>
      </c>
      <c r="V323" t="s">
        <v>119</v>
      </c>
      <c r="W323">
        <v>0</v>
      </c>
      <c r="X323">
        <v>0</v>
      </c>
    </row>
    <row r="324" spans="1:24" x14ac:dyDescent="0.25">
      <c r="A324">
        <v>13078769</v>
      </c>
      <c r="B324" t="s">
        <v>1905</v>
      </c>
      <c r="C324" t="s">
        <v>1906</v>
      </c>
      <c r="D324" t="s">
        <v>1907</v>
      </c>
      <c r="E324" t="s">
        <v>119</v>
      </c>
      <c r="F324" t="s">
        <v>1908</v>
      </c>
      <c r="G324" t="s">
        <v>1909</v>
      </c>
      <c r="H324">
        <v>0</v>
      </c>
      <c r="I324">
        <v>4.0599999999999996</v>
      </c>
      <c r="J324" t="s">
        <v>1910</v>
      </c>
      <c r="K324" t="s">
        <v>147</v>
      </c>
      <c r="L324">
        <v>240</v>
      </c>
      <c r="M324">
        <v>2012</v>
      </c>
      <c r="N324">
        <v>2012</v>
      </c>
      <c r="O324" s="2"/>
      <c r="P324" s="2">
        <v>43707</v>
      </c>
      <c r="Q324" t="s">
        <v>132</v>
      </c>
      <c r="R324" t="s">
        <v>1911</v>
      </c>
      <c r="S324" t="s">
        <v>132</v>
      </c>
      <c r="T324" t="s">
        <v>119</v>
      </c>
      <c r="U324" t="s">
        <v>119</v>
      </c>
      <c r="V324" t="s">
        <v>119</v>
      </c>
      <c r="W324">
        <v>0</v>
      </c>
      <c r="X324">
        <v>0</v>
      </c>
    </row>
    <row r="325" spans="1:24" x14ac:dyDescent="0.25">
      <c r="A325">
        <v>23692271</v>
      </c>
      <c r="B325" t="s">
        <v>2629</v>
      </c>
      <c r="C325" t="s">
        <v>50</v>
      </c>
      <c r="D325" t="s">
        <v>316</v>
      </c>
      <c r="E325" t="s">
        <v>119</v>
      </c>
      <c r="F325" t="s">
        <v>120</v>
      </c>
      <c r="G325" t="s">
        <v>120</v>
      </c>
      <c r="H325">
        <v>5</v>
      </c>
      <c r="I325">
        <v>4.38</v>
      </c>
      <c r="J325" t="s">
        <v>436</v>
      </c>
      <c r="K325" t="s">
        <v>140</v>
      </c>
      <c r="L325">
        <v>512</v>
      </c>
      <c r="M325">
        <v>2015</v>
      </c>
      <c r="N325">
        <v>2011</v>
      </c>
      <c r="O325" s="2">
        <v>42759</v>
      </c>
      <c r="P325" s="2">
        <v>42744</v>
      </c>
      <c r="Q325" t="s">
        <v>119</v>
      </c>
      <c r="R325" t="s">
        <v>119</v>
      </c>
      <c r="S325" t="s">
        <v>125</v>
      </c>
      <c r="T325" t="s">
        <v>119</v>
      </c>
      <c r="U325" t="s">
        <v>119</v>
      </c>
      <c r="V325" t="s">
        <v>119</v>
      </c>
      <c r="W325">
        <v>1</v>
      </c>
      <c r="X325">
        <v>0</v>
      </c>
    </row>
    <row r="326" spans="1:24" x14ac:dyDescent="0.25">
      <c r="A326">
        <v>31670196</v>
      </c>
      <c r="B326" t="s">
        <v>2406</v>
      </c>
      <c r="C326" t="s">
        <v>2407</v>
      </c>
      <c r="D326" t="s">
        <v>2408</v>
      </c>
      <c r="E326" t="s">
        <v>119</v>
      </c>
      <c r="F326" t="s">
        <v>2409</v>
      </c>
      <c r="G326" t="s">
        <v>2410</v>
      </c>
      <c r="H326">
        <v>0</v>
      </c>
      <c r="I326">
        <v>4.13</v>
      </c>
      <c r="J326" t="s">
        <v>238</v>
      </c>
      <c r="K326" t="s">
        <v>147</v>
      </c>
      <c r="L326">
        <v>481</v>
      </c>
      <c r="M326">
        <v>2017</v>
      </c>
      <c r="N326">
        <v>2017</v>
      </c>
      <c r="O326" s="2"/>
      <c r="P326" s="2">
        <v>43022</v>
      </c>
      <c r="Q326" t="s">
        <v>132</v>
      </c>
      <c r="R326" t="s">
        <v>2411</v>
      </c>
      <c r="S326" t="s">
        <v>132</v>
      </c>
      <c r="T326" t="s">
        <v>119</v>
      </c>
      <c r="U326" t="s">
        <v>119</v>
      </c>
      <c r="V326" t="s">
        <v>119</v>
      </c>
      <c r="W326">
        <v>0</v>
      </c>
      <c r="X326">
        <v>0</v>
      </c>
    </row>
    <row r="327" spans="1:24" x14ac:dyDescent="0.25">
      <c r="A327">
        <v>2455391</v>
      </c>
      <c r="B327" t="s">
        <v>2910</v>
      </c>
      <c r="C327" t="s">
        <v>2903</v>
      </c>
      <c r="D327" t="s">
        <v>2904</v>
      </c>
      <c r="E327" t="s">
        <v>119</v>
      </c>
      <c r="F327" t="s">
        <v>2911</v>
      </c>
      <c r="G327" t="s">
        <v>2912</v>
      </c>
      <c r="H327">
        <v>5</v>
      </c>
      <c r="I327">
        <v>4.21</v>
      </c>
      <c r="J327" t="s">
        <v>2908</v>
      </c>
      <c r="K327" t="s">
        <v>140</v>
      </c>
      <c r="L327">
        <v>140</v>
      </c>
      <c r="M327">
        <v>2007</v>
      </c>
      <c r="N327">
        <v>2007</v>
      </c>
      <c r="O327" s="2">
        <v>42267</v>
      </c>
      <c r="P327" s="2">
        <v>42379</v>
      </c>
      <c r="Q327" t="s">
        <v>148</v>
      </c>
      <c r="R327" t="s">
        <v>2913</v>
      </c>
      <c r="S327" t="s">
        <v>125</v>
      </c>
      <c r="T327" t="s">
        <v>119</v>
      </c>
      <c r="U327" t="s">
        <v>119</v>
      </c>
      <c r="V327" t="s">
        <v>119</v>
      </c>
      <c r="W327">
        <v>1</v>
      </c>
      <c r="X327">
        <v>0</v>
      </c>
    </row>
    <row r="328" spans="1:24" x14ac:dyDescent="0.25">
      <c r="A328">
        <v>52957470</v>
      </c>
      <c r="B328" t="s">
        <v>141</v>
      </c>
      <c r="C328" t="s">
        <v>142</v>
      </c>
      <c r="D328" t="s">
        <v>143</v>
      </c>
      <c r="E328" t="s">
        <v>119</v>
      </c>
      <c r="F328" t="s">
        <v>144</v>
      </c>
      <c r="G328" t="s">
        <v>145</v>
      </c>
      <c r="H328">
        <v>3</v>
      </c>
      <c r="I328">
        <v>3.85</v>
      </c>
      <c r="J328" t="s">
        <v>146</v>
      </c>
      <c r="K328" t="s">
        <v>147</v>
      </c>
      <c r="L328">
        <v>287</v>
      </c>
      <c r="M328">
        <v>2017</v>
      </c>
      <c r="N328">
        <v>2009</v>
      </c>
      <c r="O328" s="2">
        <v>42413</v>
      </c>
      <c r="P328" s="2">
        <v>42409</v>
      </c>
      <c r="Q328" t="s">
        <v>148</v>
      </c>
      <c r="R328" t="s">
        <v>149</v>
      </c>
      <c r="S328" t="s">
        <v>125</v>
      </c>
      <c r="T328" t="s">
        <v>119</v>
      </c>
      <c r="U328" t="s">
        <v>119</v>
      </c>
      <c r="V328" t="s">
        <v>119</v>
      </c>
      <c r="W328">
        <v>1</v>
      </c>
      <c r="X328">
        <v>0</v>
      </c>
    </row>
    <row r="329" spans="1:24" x14ac:dyDescent="0.25">
      <c r="A329">
        <v>19288230</v>
      </c>
      <c r="B329" t="s">
        <v>1325</v>
      </c>
      <c r="C329" t="s">
        <v>1326</v>
      </c>
      <c r="D329" t="s">
        <v>1327</v>
      </c>
      <c r="E329" t="s">
        <v>119</v>
      </c>
      <c r="F329" t="s">
        <v>1328</v>
      </c>
      <c r="G329" t="s">
        <v>1329</v>
      </c>
      <c r="H329">
        <v>5</v>
      </c>
      <c r="I329">
        <v>4.16</v>
      </c>
      <c r="J329" t="s">
        <v>1330</v>
      </c>
      <c r="K329" t="s">
        <v>147</v>
      </c>
      <c r="L329">
        <v>237</v>
      </c>
      <c r="M329">
        <v>2014</v>
      </c>
      <c r="N329">
        <v>2014</v>
      </c>
      <c r="O329" s="2">
        <v>44077</v>
      </c>
      <c r="P329" s="2">
        <v>43924</v>
      </c>
      <c r="Q329" t="s">
        <v>1331</v>
      </c>
      <c r="R329" t="s">
        <v>1332</v>
      </c>
      <c r="S329" t="s">
        <v>125</v>
      </c>
      <c r="T329" t="s">
        <v>1333</v>
      </c>
      <c r="U329" t="s">
        <v>119</v>
      </c>
      <c r="V329" t="s">
        <v>119</v>
      </c>
      <c r="W329">
        <v>1</v>
      </c>
      <c r="X329">
        <v>0</v>
      </c>
    </row>
    <row r="330" spans="1:24" x14ac:dyDescent="0.25">
      <c r="A330">
        <v>12921211</v>
      </c>
      <c r="B330" t="s">
        <v>2379</v>
      </c>
      <c r="C330" t="s">
        <v>1217</v>
      </c>
      <c r="D330" t="s">
        <v>1218</v>
      </c>
      <c r="E330" t="s">
        <v>119</v>
      </c>
      <c r="F330" t="s">
        <v>2380</v>
      </c>
      <c r="G330" t="s">
        <v>2381</v>
      </c>
      <c r="H330">
        <v>5</v>
      </c>
      <c r="I330">
        <v>4.03</v>
      </c>
      <c r="J330" t="s">
        <v>201</v>
      </c>
      <c r="K330" t="s">
        <v>147</v>
      </c>
      <c r="L330">
        <v>288</v>
      </c>
      <c r="M330">
        <v>2012</v>
      </c>
      <c r="N330">
        <v>2012</v>
      </c>
      <c r="O330" s="2"/>
      <c r="P330" s="2">
        <v>42165</v>
      </c>
      <c r="Q330" t="s">
        <v>882</v>
      </c>
      <c r="R330" t="s">
        <v>2382</v>
      </c>
      <c r="S330" t="s">
        <v>125</v>
      </c>
      <c r="T330" t="s">
        <v>119</v>
      </c>
      <c r="U330" t="s">
        <v>119</v>
      </c>
      <c r="V330" t="s">
        <v>119</v>
      </c>
      <c r="W330">
        <v>1</v>
      </c>
      <c r="X330">
        <v>0</v>
      </c>
    </row>
    <row r="331" spans="1:24" x14ac:dyDescent="0.25">
      <c r="A331">
        <v>10127008</v>
      </c>
      <c r="B331" t="s">
        <v>642</v>
      </c>
      <c r="C331" t="s">
        <v>643</v>
      </c>
      <c r="D331" t="s">
        <v>644</v>
      </c>
      <c r="E331" t="s">
        <v>119</v>
      </c>
      <c r="F331" t="s">
        <v>645</v>
      </c>
      <c r="G331" t="s">
        <v>646</v>
      </c>
      <c r="H331">
        <v>0</v>
      </c>
      <c r="I331">
        <v>4.13</v>
      </c>
      <c r="J331" t="s">
        <v>602</v>
      </c>
      <c r="K331" t="s">
        <v>147</v>
      </c>
      <c r="L331">
        <v>320</v>
      </c>
      <c r="M331">
        <v>2011</v>
      </c>
      <c r="N331">
        <v>2011</v>
      </c>
      <c r="O331" s="2"/>
      <c r="P331" s="2">
        <v>44594</v>
      </c>
      <c r="Q331" t="s">
        <v>132</v>
      </c>
      <c r="R331" t="s">
        <v>647</v>
      </c>
      <c r="S331" t="s">
        <v>132</v>
      </c>
      <c r="T331" t="s">
        <v>119</v>
      </c>
      <c r="U331" t="s">
        <v>119</v>
      </c>
      <c r="V331" t="s">
        <v>119</v>
      </c>
      <c r="W331">
        <v>0</v>
      </c>
      <c r="X331">
        <v>0</v>
      </c>
    </row>
    <row r="332" spans="1:24" x14ac:dyDescent="0.25">
      <c r="A332">
        <v>22632277</v>
      </c>
      <c r="B332" t="s">
        <v>592</v>
      </c>
      <c r="C332" t="s">
        <v>593</v>
      </c>
      <c r="D332" t="s">
        <v>594</v>
      </c>
      <c r="E332" t="s">
        <v>119</v>
      </c>
      <c r="F332" t="s">
        <v>595</v>
      </c>
      <c r="G332" t="s">
        <v>596</v>
      </c>
      <c r="H332">
        <v>0</v>
      </c>
      <c r="I332">
        <v>4.24</v>
      </c>
      <c r="J332" t="s">
        <v>597</v>
      </c>
      <c r="K332" t="s">
        <v>140</v>
      </c>
      <c r="L332">
        <v>288</v>
      </c>
      <c r="M332">
        <v>2015</v>
      </c>
      <c r="N332">
        <v>2015</v>
      </c>
      <c r="O332" s="2"/>
      <c r="P332" s="2">
        <v>44605</v>
      </c>
      <c r="Q332" t="s">
        <v>132</v>
      </c>
      <c r="R332" t="s">
        <v>598</v>
      </c>
      <c r="S332" t="s">
        <v>132</v>
      </c>
      <c r="T332" t="s">
        <v>119</v>
      </c>
      <c r="U332" t="s">
        <v>119</v>
      </c>
      <c r="V332" t="s">
        <v>119</v>
      </c>
      <c r="W332">
        <v>0</v>
      </c>
      <c r="X332">
        <v>0</v>
      </c>
    </row>
    <row r="333" spans="1:24" x14ac:dyDescent="0.25">
      <c r="A333">
        <v>18290401</v>
      </c>
      <c r="B333" t="s">
        <v>720</v>
      </c>
      <c r="C333" t="s">
        <v>721</v>
      </c>
      <c r="D333" t="s">
        <v>722</v>
      </c>
      <c r="E333" t="s">
        <v>119</v>
      </c>
      <c r="F333" t="s">
        <v>723</v>
      </c>
      <c r="G333" t="s">
        <v>724</v>
      </c>
      <c r="H333">
        <v>0</v>
      </c>
      <c r="I333">
        <v>4.1100000000000003</v>
      </c>
      <c r="J333" t="s">
        <v>725</v>
      </c>
      <c r="K333" t="s">
        <v>140</v>
      </c>
      <c r="L333">
        <v>215</v>
      </c>
      <c r="M333">
        <v>2014</v>
      </c>
      <c r="N333">
        <v>2014</v>
      </c>
      <c r="O333" s="2"/>
      <c r="P333" s="2">
        <v>44565</v>
      </c>
      <c r="Q333" t="s">
        <v>132</v>
      </c>
      <c r="R333" t="s">
        <v>726</v>
      </c>
      <c r="S333" t="s">
        <v>132</v>
      </c>
      <c r="T333" t="s">
        <v>119</v>
      </c>
      <c r="U333" t="s">
        <v>119</v>
      </c>
      <c r="V333" t="s">
        <v>119</v>
      </c>
      <c r="W333">
        <v>0</v>
      </c>
      <c r="X333">
        <v>0</v>
      </c>
    </row>
    <row r="334" spans="1:24" x14ac:dyDescent="0.25">
      <c r="A334">
        <v>52036</v>
      </c>
      <c r="B334" t="s">
        <v>2301</v>
      </c>
      <c r="C334" t="s">
        <v>2302</v>
      </c>
      <c r="D334" t="s">
        <v>2303</v>
      </c>
      <c r="E334" t="s">
        <v>2304</v>
      </c>
      <c r="F334" t="s">
        <v>120</v>
      </c>
      <c r="G334" t="s">
        <v>120</v>
      </c>
      <c r="H334">
        <v>4</v>
      </c>
      <c r="I334">
        <v>4.0599999999999996</v>
      </c>
      <c r="J334" t="s">
        <v>2305</v>
      </c>
      <c r="K334" t="s">
        <v>157</v>
      </c>
      <c r="L334">
        <v>152</v>
      </c>
      <c r="M334">
        <v>1981</v>
      </c>
      <c r="N334">
        <v>1922</v>
      </c>
      <c r="O334" s="2">
        <v>43338</v>
      </c>
      <c r="P334" s="2">
        <v>43338</v>
      </c>
      <c r="Q334" t="s">
        <v>119</v>
      </c>
      <c r="R334" t="s">
        <v>119</v>
      </c>
      <c r="S334" t="s">
        <v>125</v>
      </c>
      <c r="T334" t="s">
        <v>119</v>
      </c>
      <c r="U334" t="s">
        <v>119</v>
      </c>
      <c r="V334" t="s">
        <v>119</v>
      </c>
      <c r="W334">
        <v>1</v>
      </c>
      <c r="X334">
        <v>0</v>
      </c>
    </row>
    <row r="335" spans="1:24" x14ac:dyDescent="0.25">
      <c r="A335">
        <v>23149937</v>
      </c>
      <c r="B335" t="s">
        <v>196</v>
      </c>
      <c r="C335" t="s">
        <v>197</v>
      </c>
      <c r="D335" t="s">
        <v>198</v>
      </c>
      <c r="E335" t="s">
        <v>119</v>
      </c>
      <c r="F335" t="s">
        <v>199</v>
      </c>
      <c r="G335" t="s">
        <v>200</v>
      </c>
      <c r="H335">
        <v>5</v>
      </c>
      <c r="I335">
        <v>4.3</v>
      </c>
      <c r="J335" t="s">
        <v>201</v>
      </c>
      <c r="K335" t="s">
        <v>147</v>
      </c>
      <c r="L335">
        <v>189</v>
      </c>
      <c r="M335">
        <v>2015</v>
      </c>
      <c r="N335">
        <v>2015</v>
      </c>
      <c r="O335" s="2">
        <v>44822</v>
      </c>
      <c r="P335" s="2">
        <v>44777</v>
      </c>
      <c r="Q335" t="s">
        <v>202</v>
      </c>
      <c r="R335" t="s">
        <v>203</v>
      </c>
      <c r="S335" t="s">
        <v>125</v>
      </c>
      <c r="T335" t="s">
        <v>119</v>
      </c>
      <c r="U335" t="s">
        <v>119</v>
      </c>
      <c r="V335" t="s">
        <v>119</v>
      </c>
      <c r="W335">
        <v>1</v>
      </c>
      <c r="X335">
        <v>0</v>
      </c>
    </row>
    <row r="336" spans="1:24" x14ac:dyDescent="0.25">
      <c r="A336">
        <v>26157704</v>
      </c>
      <c r="B336" t="s">
        <v>71</v>
      </c>
      <c r="C336" t="s">
        <v>72</v>
      </c>
      <c r="D336" t="s">
        <v>1007</v>
      </c>
      <c r="E336" t="s">
        <v>119</v>
      </c>
      <c r="F336" t="s">
        <v>120</v>
      </c>
      <c r="G336" t="s">
        <v>120</v>
      </c>
      <c r="H336">
        <v>0</v>
      </c>
      <c r="I336">
        <v>3.99</v>
      </c>
      <c r="J336" t="s">
        <v>1008</v>
      </c>
      <c r="K336" t="s">
        <v>122</v>
      </c>
      <c r="L336">
        <v>101</v>
      </c>
      <c r="M336">
        <v>2015</v>
      </c>
      <c r="N336">
        <v>2015</v>
      </c>
      <c r="O336" s="2"/>
      <c r="P336" s="2">
        <v>44293</v>
      </c>
      <c r="Q336" t="s">
        <v>265</v>
      </c>
      <c r="R336" t="s">
        <v>1009</v>
      </c>
      <c r="S336" t="s">
        <v>265</v>
      </c>
      <c r="T336" t="s">
        <v>119</v>
      </c>
      <c r="U336" t="s">
        <v>119</v>
      </c>
      <c r="V336" t="s">
        <v>119</v>
      </c>
      <c r="W336">
        <v>1</v>
      </c>
      <c r="X336">
        <v>0</v>
      </c>
    </row>
    <row r="337" spans="1:24" x14ac:dyDescent="0.25">
      <c r="A337">
        <v>36064445</v>
      </c>
      <c r="B337" t="s">
        <v>1564</v>
      </c>
      <c r="C337" t="s">
        <v>1361</v>
      </c>
      <c r="D337" t="s">
        <v>1362</v>
      </c>
      <c r="E337" t="s">
        <v>119</v>
      </c>
      <c r="F337" t="s">
        <v>1565</v>
      </c>
      <c r="G337" t="s">
        <v>1566</v>
      </c>
      <c r="H337">
        <v>3</v>
      </c>
      <c r="I337">
        <v>3.89</v>
      </c>
      <c r="J337" t="s">
        <v>775</v>
      </c>
      <c r="K337" t="s">
        <v>140</v>
      </c>
      <c r="L337">
        <v>272</v>
      </c>
      <c r="M337">
        <v>2018</v>
      </c>
      <c r="N337">
        <v>2018</v>
      </c>
      <c r="O337" s="2">
        <v>43956</v>
      </c>
      <c r="P337" s="2">
        <v>43351</v>
      </c>
      <c r="Q337" t="s">
        <v>119</v>
      </c>
      <c r="R337" t="s">
        <v>119</v>
      </c>
      <c r="S337" t="s">
        <v>125</v>
      </c>
      <c r="T337" t="s">
        <v>1567</v>
      </c>
      <c r="U337" t="s">
        <v>119</v>
      </c>
      <c r="V337" t="s">
        <v>119</v>
      </c>
      <c r="W337">
        <v>1</v>
      </c>
      <c r="X337">
        <v>0</v>
      </c>
    </row>
    <row r="338" spans="1:24" x14ac:dyDescent="0.25">
      <c r="A338">
        <v>13525945</v>
      </c>
      <c r="B338" t="s">
        <v>2668</v>
      </c>
      <c r="C338" t="s">
        <v>384</v>
      </c>
      <c r="D338" t="s">
        <v>385</v>
      </c>
      <c r="E338" t="s">
        <v>119</v>
      </c>
      <c r="F338" t="s">
        <v>2669</v>
      </c>
      <c r="G338" t="s">
        <v>2670</v>
      </c>
      <c r="H338">
        <v>0</v>
      </c>
      <c r="I338">
        <v>4.08</v>
      </c>
      <c r="J338" t="s">
        <v>2671</v>
      </c>
      <c r="K338" t="s">
        <v>273</v>
      </c>
      <c r="L338">
        <v>288</v>
      </c>
      <c r="M338">
        <v>2012</v>
      </c>
      <c r="N338">
        <v>2012</v>
      </c>
      <c r="O338" s="2"/>
      <c r="P338" s="2">
        <v>42625</v>
      </c>
      <c r="Q338" t="s">
        <v>132</v>
      </c>
      <c r="R338" t="s">
        <v>2672</v>
      </c>
      <c r="S338" t="s">
        <v>132</v>
      </c>
      <c r="T338" t="s">
        <v>119</v>
      </c>
      <c r="U338" t="s">
        <v>119</v>
      </c>
      <c r="V338" t="s">
        <v>119</v>
      </c>
      <c r="W338">
        <v>0</v>
      </c>
      <c r="X338">
        <v>0</v>
      </c>
    </row>
    <row r="339" spans="1:24" x14ac:dyDescent="0.25">
      <c r="A339">
        <v>30354426</v>
      </c>
      <c r="B339" t="s">
        <v>390</v>
      </c>
      <c r="C339" t="s">
        <v>391</v>
      </c>
      <c r="D339" t="s">
        <v>392</v>
      </c>
      <c r="E339" t="s">
        <v>119</v>
      </c>
      <c r="F339" t="s">
        <v>393</v>
      </c>
      <c r="G339" t="s">
        <v>394</v>
      </c>
      <c r="H339">
        <v>4</v>
      </c>
      <c r="I339">
        <v>3.96</v>
      </c>
      <c r="J339" t="s">
        <v>169</v>
      </c>
      <c r="K339" t="s">
        <v>147</v>
      </c>
      <c r="L339">
        <v>368</v>
      </c>
      <c r="M339">
        <v>2017</v>
      </c>
      <c r="N339">
        <v>2017</v>
      </c>
      <c r="O339" s="2">
        <v>44794</v>
      </c>
      <c r="P339" s="2">
        <v>43924</v>
      </c>
      <c r="Q339" t="s">
        <v>119</v>
      </c>
      <c r="R339" t="s">
        <v>119</v>
      </c>
      <c r="S339" t="s">
        <v>125</v>
      </c>
      <c r="T339" t="s">
        <v>395</v>
      </c>
      <c r="U339" t="s">
        <v>119</v>
      </c>
      <c r="V339" t="s">
        <v>119</v>
      </c>
      <c r="W339">
        <v>1</v>
      </c>
      <c r="X339">
        <v>0</v>
      </c>
    </row>
    <row r="340" spans="1:24" x14ac:dyDescent="0.25">
      <c r="A340">
        <v>42428073</v>
      </c>
      <c r="B340" t="s">
        <v>1255</v>
      </c>
      <c r="C340" t="s">
        <v>1256</v>
      </c>
      <c r="D340" t="s">
        <v>1257</v>
      </c>
      <c r="E340" t="s">
        <v>119</v>
      </c>
      <c r="F340" t="s">
        <v>120</v>
      </c>
      <c r="G340" t="s">
        <v>120</v>
      </c>
      <c r="H340">
        <v>4</v>
      </c>
      <c r="I340">
        <v>4.24</v>
      </c>
      <c r="J340" t="s">
        <v>1258</v>
      </c>
      <c r="K340" t="s">
        <v>122</v>
      </c>
      <c r="L340">
        <v>118</v>
      </c>
      <c r="M340">
        <v>2018</v>
      </c>
      <c r="N340">
        <v>2018</v>
      </c>
      <c r="O340" s="2"/>
      <c r="P340" s="2">
        <v>44158</v>
      </c>
      <c r="Q340" t="s">
        <v>119</v>
      </c>
      <c r="R340" t="s">
        <v>119</v>
      </c>
      <c r="S340" t="s">
        <v>125</v>
      </c>
      <c r="T340" t="s">
        <v>1259</v>
      </c>
      <c r="U340" t="s">
        <v>119</v>
      </c>
      <c r="V340" t="s">
        <v>119</v>
      </c>
      <c r="W340">
        <v>1</v>
      </c>
      <c r="X340">
        <v>0</v>
      </c>
    </row>
    <row r="341" spans="1:24" x14ac:dyDescent="0.25">
      <c r="A341">
        <v>25814544</v>
      </c>
      <c r="B341" t="s">
        <v>1985</v>
      </c>
      <c r="C341" t="s">
        <v>1986</v>
      </c>
      <c r="D341" t="s">
        <v>1987</v>
      </c>
      <c r="E341" t="s">
        <v>1988</v>
      </c>
      <c r="F341" t="s">
        <v>120</v>
      </c>
      <c r="G341" t="s">
        <v>1989</v>
      </c>
      <c r="H341">
        <v>4</v>
      </c>
      <c r="I341">
        <v>4.2</v>
      </c>
      <c r="J341" t="s">
        <v>1096</v>
      </c>
      <c r="K341" t="s">
        <v>147</v>
      </c>
      <c r="L341">
        <v>274</v>
      </c>
      <c r="M341">
        <v>2016</v>
      </c>
      <c r="N341">
        <v>2016</v>
      </c>
      <c r="O341" s="2">
        <v>43572</v>
      </c>
      <c r="P341" s="2">
        <v>43569</v>
      </c>
      <c r="Q341" t="s">
        <v>119</v>
      </c>
      <c r="R341" t="s">
        <v>119</v>
      </c>
      <c r="S341" t="s">
        <v>125</v>
      </c>
      <c r="T341" t="s">
        <v>119</v>
      </c>
      <c r="U341" t="s">
        <v>119</v>
      </c>
      <c r="V341" t="s">
        <v>119</v>
      </c>
      <c r="W341">
        <v>1</v>
      </c>
      <c r="X341">
        <v>0</v>
      </c>
    </row>
    <row r="342" spans="1:24" x14ac:dyDescent="0.25">
      <c r="A342">
        <v>7108725</v>
      </c>
      <c r="B342" t="s">
        <v>2551</v>
      </c>
      <c r="C342" t="s">
        <v>1028</v>
      </c>
      <c r="D342" t="s">
        <v>1029</v>
      </c>
      <c r="E342" t="s">
        <v>119</v>
      </c>
      <c r="F342" t="s">
        <v>2552</v>
      </c>
      <c r="G342" t="s">
        <v>2553</v>
      </c>
      <c r="H342">
        <v>0</v>
      </c>
      <c r="I342">
        <v>4.0999999999999996</v>
      </c>
      <c r="J342" t="s">
        <v>388</v>
      </c>
      <c r="K342" t="s">
        <v>147</v>
      </c>
      <c r="L342">
        <v>256</v>
      </c>
      <c r="M342">
        <v>2009</v>
      </c>
      <c r="N342">
        <v>2009</v>
      </c>
      <c r="O342" s="2"/>
      <c r="P342" s="2">
        <v>42165</v>
      </c>
      <c r="Q342" t="s">
        <v>132</v>
      </c>
      <c r="R342" t="s">
        <v>2554</v>
      </c>
      <c r="S342" t="s">
        <v>132</v>
      </c>
      <c r="T342" t="s">
        <v>119</v>
      </c>
      <c r="U342" t="s">
        <v>119</v>
      </c>
      <c r="V342" t="s">
        <v>119</v>
      </c>
      <c r="W342">
        <v>0</v>
      </c>
      <c r="X342">
        <v>0</v>
      </c>
    </row>
    <row r="343" spans="1:24" x14ac:dyDescent="0.25">
      <c r="A343">
        <v>41755006</v>
      </c>
      <c r="B343" t="s">
        <v>301</v>
      </c>
      <c r="C343" t="s">
        <v>302</v>
      </c>
      <c r="D343" t="s">
        <v>303</v>
      </c>
      <c r="E343" t="s">
        <v>119</v>
      </c>
      <c r="F343" t="s">
        <v>304</v>
      </c>
      <c r="G343" t="s">
        <v>305</v>
      </c>
      <c r="H343">
        <v>0</v>
      </c>
      <c r="I343">
        <v>4.05</v>
      </c>
      <c r="J343" t="s">
        <v>258</v>
      </c>
      <c r="K343" t="s">
        <v>147</v>
      </c>
      <c r="L343">
        <v>240</v>
      </c>
      <c r="M343">
        <v>2019</v>
      </c>
      <c r="O343" s="2"/>
      <c r="P343" s="2">
        <v>44886</v>
      </c>
      <c r="Q343" t="s">
        <v>265</v>
      </c>
      <c r="R343" t="s">
        <v>306</v>
      </c>
      <c r="S343" t="s">
        <v>265</v>
      </c>
      <c r="T343" t="s">
        <v>119</v>
      </c>
      <c r="U343" t="s">
        <v>119</v>
      </c>
      <c r="V343" t="s">
        <v>119</v>
      </c>
      <c r="W343">
        <v>1</v>
      </c>
      <c r="X343">
        <v>0</v>
      </c>
    </row>
    <row r="344" spans="1:24" x14ac:dyDescent="0.25">
      <c r="A344">
        <v>17930237</v>
      </c>
      <c r="B344" t="s">
        <v>1441</v>
      </c>
      <c r="C344" t="s">
        <v>1433</v>
      </c>
      <c r="D344" t="s">
        <v>1434</v>
      </c>
      <c r="E344" t="s">
        <v>1442</v>
      </c>
      <c r="F344" t="s">
        <v>120</v>
      </c>
      <c r="G344" t="s">
        <v>1443</v>
      </c>
      <c r="H344">
        <v>0</v>
      </c>
      <c r="I344">
        <v>4.5199999999999996</v>
      </c>
      <c r="J344" t="s">
        <v>1444</v>
      </c>
      <c r="K344" t="s">
        <v>122</v>
      </c>
      <c r="L344">
        <v>7134</v>
      </c>
      <c r="M344">
        <v>2013</v>
      </c>
      <c r="N344">
        <v>1951</v>
      </c>
      <c r="O344" s="2"/>
      <c r="P344" s="2">
        <v>44008</v>
      </c>
      <c r="Q344" t="s">
        <v>132</v>
      </c>
      <c r="R344" t="s">
        <v>1445</v>
      </c>
      <c r="S344" t="s">
        <v>132</v>
      </c>
      <c r="T344" t="s">
        <v>119</v>
      </c>
      <c r="U344" t="s">
        <v>119</v>
      </c>
      <c r="V344" t="s">
        <v>119</v>
      </c>
      <c r="W344">
        <v>0</v>
      </c>
      <c r="X344">
        <v>0</v>
      </c>
    </row>
    <row r="345" spans="1:24" x14ac:dyDescent="0.25">
      <c r="A345">
        <v>36451316</v>
      </c>
      <c r="B345" t="s">
        <v>1432</v>
      </c>
      <c r="C345" t="s">
        <v>1433</v>
      </c>
      <c r="D345" t="s">
        <v>1434</v>
      </c>
      <c r="E345" t="s">
        <v>119</v>
      </c>
      <c r="F345" t="s">
        <v>120</v>
      </c>
      <c r="G345" t="s">
        <v>120</v>
      </c>
      <c r="H345">
        <v>0</v>
      </c>
      <c r="I345">
        <v>4.51</v>
      </c>
      <c r="J345" t="s">
        <v>1435</v>
      </c>
      <c r="K345" t="s">
        <v>122</v>
      </c>
      <c r="L345">
        <v>417</v>
      </c>
      <c r="M345">
        <v>2017</v>
      </c>
      <c r="N345">
        <v>1942</v>
      </c>
      <c r="O345" s="2"/>
      <c r="P345" s="2">
        <v>44008</v>
      </c>
      <c r="Q345" t="s">
        <v>132</v>
      </c>
      <c r="R345" t="s">
        <v>1436</v>
      </c>
      <c r="S345" t="s">
        <v>132</v>
      </c>
      <c r="T345" t="s">
        <v>119</v>
      </c>
      <c r="U345" t="s">
        <v>119</v>
      </c>
      <c r="V345" t="s">
        <v>119</v>
      </c>
      <c r="W345">
        <v>0</v>
      </c>
      <c r="X345">
        <v>0</v>
      </c>
    </row>
    <row r="346" spans="1:24" x14ac:dyDescent="0.25">
      <c r="A346">
        <v>11084145</v>
      </c>
      <c r="B346" t="s">
        <v>490</v>
      </c>
      <c r="C346" t="s">
        <v>491</v>
      </c>
      <c r="D346" t="s">
        <v>492</v>
      </c>
      <c r="E346" t="s">
        <v>119</v>
      </c>
      <c r="F346" t="s">
        <v>493</v>
      </c>
      <c r="G346" t="s">
        <v>494</v>
      </c>
      <c r="H346">
        <v>0</v>
      </c>
      <c r="I346">
        <v>4.16</v>
      </c>
      <c r="J346" t="s">
        <v>495</v>
      </c>
      <c r="K346" t="s">
        <v>147</v>
      </c>
      <c r="L346">
        <v>630</v>
      </c>
      <c r="M346">
        <v>2011</v>
      </c>
      <c r="N346">
        <v>2011</v>
      </c>
      <c r="O346" s="2"/>
      <c r="P346" s="2">
        <v>44712</v>
      </c>
      <c r="Q346" t="s">
        <v>132</v>
      </c>
      <c r="R346" t="s">
        <v>496</v>
      </c>
      <c r="S346" t="s">
        <v>132</v>
      </c>
      <c r="T346" t="s">
        <v>119</v>
      </c>
      <c r="U346" t="s">
        <v>119</v>
      </c>
      <c r="V346" t="s">
        <v>119</v>
      </c>
      <c r="W346">
        <v>0</v>
      </c>
      <c r="X346">
        <v>0</v>
      </c>
    </row>
    <row r="347" spans="1:24" x14ac:dyDescent="0.25">
      <c r="A347">
        <v>34017101</v>
      </c>
      <c r="B347" t="s">
        <v>396</v>
      </c>
      <c r="C347" t="s">
        <v>397</v>
      </c>
      <c r="D347" t="s">
        <v>398</v>
      </c>
      <c r="E347" t="s">
        <v>119</v>
      </c>
      <c r="F347" t="s">
        <v>399</v>
      </c>
      <c r="G347" t="s">
        <v>400</v>
      </c>
      <c r="H347">
        <v>0</v>
      </c>
      <c r="I347">
        <v>3.76</v>
      </c>
      <c r="J347" t="s">
        <v>317</v>
      </c>
      <c r="K347" t="s">
        <v>273</v>
      </c>
      <c r="L347">
        <v>288</v>
      </c>
      <c r="M347">
        <v>2017</v>
      </c>
      <c r="O347" s="2"/>
      <c r="P347" s="2">
        <v>44794</v>
      </c>
      <c r="Q347" t="s">
        <v>132</v>
      </c>
      <c r="R347" t="s">
        <v>401</v>
      </c>
      <c r="S347" t="s">
        <v>132</v>
      </c>
      <c r="T347" t="s">
        <v>119</v>
      </c>
      <c r="U347" t="s">
        <v>119</v>
      </c>
      <c r="V347" t="s">
        <v>119</v>
      </c>
      <c r="W347">
        <v>0</v>
      </c>
      <c r="X347">
        <v>0</v>
      </c>
    </row>
    <row r="348" spans="1:24" x14ac:dyDescent="0.25">
      <c r="A348">
        <v>43582733</v>
      </c>
      <c r="B348" t="s">
        <v>1486</v>
      </c>
      <c r="C348" t="s">
        <v>819</v>
      </c>
      <c r="D348" t="s">
        <v>820</v>
      </c>
      <c r="E348" t="s">
        <v>119</v>
      </c>
      <c r="F348" t="s">
        <v>1487</v>
      </c>
      <c r="G348" t="s">
        <v>1488</v>
      </c>
      <c r="H348">
        <v>4</v>
      </c>
      <c r="I348">
        <v>4.22</v>
      </c>
      <c r="J348" t="s">
        <v>388</v>
      </c>
      <c r="K348" t="s">
        <v>147</v>
      </c>
      <c r="L348">
        <v>288</v>
      </c>
      <c r="M348">
        <v>2019</v>
      </c>
      <c r="N348">
        <v>2019</v>
      </c>
      <c r="O348" s="2">
        <v>43990</v>
      </c>
      <c r="P348" s="2">
        <v>43982</v>
      </c>
      <c r="Q348" t="s">
        <v>119</v>
      </c>
      <c r="R348" t="s">
        <v>119</v>
      </c>
      <c r="S348" t="s">
        <v>125</v>
      </c>
      <c r="T348" t="s">
        <v>119</v>
      </c>
      <c r="U348" t="s">
        <v>119</v>
      </c>
      <c r="V348" t="s">
        <v>119</v>
      </c>
      <c r="W348">
        <v>1</v>
      </c>
      <c r="X348">
        <v>0</v>
      </c>
    </row>
    <row r="349" spans="1:24" x14ac:dyDescent="0.25">
      <c r="A349">
        <v>57933306</v>
      </c>
      <c r="B349" t="s">
        <v>188</v>
      </c>
      <c r="C349" t="s">
        <v>189</v>
      </c>
      <c r="D349" t="s">
        <v>190</v>
      </c>
      <c r="E349" t="s">
        <v>119</v>
      </c>
      <c r="F349" t="s">
        <v>191</v>
      </c>
      <c r="G349" t="s">
        <v>192</v>
      </c>
      <c r="H349">
        <v>0</v>
      </c>
      <c r="I349">
        <v>4.2699999999999996</v>
      </c>
      <c r="J349" t="s">
        <v>193</v>
      </c>
      <c r="K349" t="s">
        <v>147</v>
      </c>
      <c r="L349">
        <v>357</v>
      </c>
      <c r="M349">
        <v>2022</v>
      </c>
      <c r="N349">
        <v>2022</v>
      </c>
      <c r="O349" s="2"/>
      <c r="P349" s="2">
        <v>44940</v>
      </c>
      <c r="Q349" t="s">
        <v>194</v>
      </c>
      <c r="R349" t="s">
        <v>195</v>
      </c>
      <c r="S349" t="s">
        <v>132</v>
      </c>
      <c r="T349" t="s">
        <v>119</v>
      </c>
      <c r="U349" t="s">
        <v>119</v>
      </c>
      <c r="V349" t="s">
        <v>119</v>
      </c>
      <c r="W349">
        <v>0</v>
      </c>
      <c r="X349">
        <v>0</v>
      </c>
    </row>
    <row r="350" spans="1:24" x14ac:dyDescent="0.25">
      <c r="A350">
        <v>37786022</v>
      </c>
      <c r="B350" t="s">
        <v>475</v>
      </c>
      <c r="C350" t="s">
        <v>476</v>
      </c>
      <c r="D350" t="s">
        <v>477</v>
      </c>
      <c r="E350" t="s">
        <v>478</v>
      </c>
      <c r="F350" t="s">
        <v>479</v>
      </c>
      <c r="G350" t="s">
        <v>480</v>
      </c>
      <c r="H350">
        <v>0</v>
      </c>
      <c r="I350">
        <v>4.29</v>
      </c>
      <c r="J350" t="s">
        <v>481</v>
      </c>
      <c r="K350" t="s">
        <v>140</v>
      </c>
      <c r="L350">
        <v>368</v>
      </c>
      <c r="M350">
        <v>2018</v>
      </c>
      <c r="N350">
        <v>2018</v>
      </c>
      <c r="O350" s="2"/>
      <c r="P350" s="2">
        <v>44724</v>
      </c>
      <c r="Q350" t="s">
        <v>132</v>
      </c>
      <c r="R350" t="s">
        <v>482</v>
      </c>
      <c r="S350" t="s">
        <v>132</v>
      </c>
      <c r="T350" t="s">
        <v>119</v>
      </c>
      <c r="U350" t="s">
        <v>119</v>
      </c>
      <c r="V350" t="s">
        <v>119</v>
      </c>
      <c r="W350">
        <v>0</v>
      </c>
      <c r="X350">
        <v>0</v>
      </c>
    </row>
    <row r="351" spans="1:24" x14ac:dyDescent="0.25">
      <c r="A351">
        <v>56627</v>
      </c>
      <c r="B351" t="s">
        <v>948</v>
      </c>
      <c r="C351" t="s">
        <v>949</v>
      </c>
      <c r="D351" t="s">
        <v>950</v>
      </c>
      <c r="E351" t="s">
        <v>119</v>
      </c>
      <c r="F351" t="s">
        <v>951</v>
      </c>
      <c r="G351" t="s">
        <v>952</v>
      </c>
      <c r="H351">
        <v>5</v>
      </c>
      <c r="I351">
        <v>3.82</v>
      </c>
      <c r="J351" t="s">
        <v>436</v>
      </c>
      <c r="K351" t="s">
        <v>140</v>
      </c>
      <c r="L351">
        <v>263</v>
      </c>
      <c r="M351">
        <v>2007</v>
      </c>
      <c r="N351">
        <v>2006</v>
      </c>
      <c r="O351" s="2">
        <v>44397</v>
      </c>
      <c r="P351" s="2">
        <v>44069</v>
      </c>
      <c r="Q351" t="s">
        <v>119</v>
      </c>
      <c r="R351" t="s">
        <v>119</v>
      </c>
      <c r="S351" t="s">
        <v>125</v>
      </c>
      <c r="T351" t="s">
        <v>953</v>
      </c>
      <c r="U351" t="s">
        <v>119</v>
      </c>
      <c r="V351" t="s">
        <v>119</v>
      </c>
      <c r="W351">
        <v>1</v>
      </c>
      <c r="X351">
        <v>0</v>
      </c>
    </row>
    <row r="352" spans="1:24" x14ac:dyDescent="0.25">
      <c r="A352">
        <v>6707987</v>
      </c>
      <c r="B352" t="s">
        <v>2784</v>
      </c>
      <c r="C352" t="s">
        <v>2785</v>
      </c>
      <c r="D352" t="s">
        <v>2786</v>
      </c>
      <c r="E352" t="s">
        <v>119</v>
      </c>
      <c r="F352" t="s">
        <v>2787</v>
      </c>
      <c r="G352" t="s">
        <v>2788</v>
      </c>
      <c r="H352">
        <v>0</v>
      </c>
      <c r="I352">
        <v>4.01</v>
      </c>
      <c r="J352" t="s">
        <v>2284</v>
      </c>
      <c r="K352" t="s">
        <v>140</v>
      </c>
      <c r="L352">
        <v>475</v>
      </c>
      <c r="M352">
        <v>2009</v>
      </c>
      <c r="N352">
        <v>2009</v>
      </c>
      <c r="O352" s="2"/>
      <c r="P352" s="2">
        <v>42471</v>
      </c>
      <c r="Q352" t="s">
        <v>2598</v>
      </c>
      <c r="R352" t="s">
        <v>2789</v>
      </c>
      <c r="S352" t="s">
        <v>132</v>
      </c>
      <c r="T352" t="s">
        <v>119</v>
      </c>
      <c r="U352" t="s">
        <v>119</v>
      </c>
      <c r="V352" t="s">
        <v>119</v>
      </c>
      <c r="W352">
        <v>0</v>
      </c>
      <c r="X352">
        <v>0</v>
      </c>
    </row>
    <row r="353" spans="1:24" x14ac:dyDescent="0.25">
      <c r="A353">
        <v>23995360</v>
      </c>
      <c r="B353" t="s">
        <v>2005</v>
      </c>
      <c r="C353" t="s">
        <v>2006</v>
      </c>
      <c r="D353" t="s">
        <v>2007</v>
      </c>
      <c r="E353" t="s">
        <v>2008</v>
      </c>
      <c r="F353" t="s">
        <v>2009</v>
      </c>
      <c r="G353" t="s">
        <v>2010</v>
      </c>
      <c r="H353">
        <v>0</v>
      </c>
      <c r="I353">
        <v>4.08</v>
      </c>
      <c r="J353" t="s">
        <v>2011</v>
      </c>
      <c r="K353" t="s">
        <v>147</v>
      </c>
      <c r="L353">
        <v>352</v>
      </c>
      <c r="M353">
        <v>2015</v>
      </c>
      <c r="N353">
        <v>2015</v>
      </c>
      <c r="O353" s="2"/>
      <c r="P353" s="2">
        <v>43556</v>
      </c>
      <c r="Q353" t="s">
        <v>132</v>
      </c>
      <c r="R353" t="s">
        <v>2012</v>
      </c>
      <c r="S353" t="s">
        <v>132</v>
      </c>
      <c r="T353" t="s">
        <v>119</v>
      </c>
      <c r="U353" t="s">
        <v>119</v>
      </c>
      <c r="V353" t="s">
        <v>119</v>
      </c>
      <c r="W353">
        <v>0</v>
      </c>
      <c r="X353">
        <v>0</v>
      </c>
    </row>
    <row r="354" spans="1:24" x14ac:dyDescent="0.25">
      <c r="A354">
        <v>5544</v>
      </c>
      <c r="B354" t="s">
        <v>2933</v>
      </c>
      <c r="C354" t="s">
        <v>1375</v>
      </c>
      <c r="D354" t="s">
        <v>1376</v>
      </c>
      <c r="E354" t="s">
        <v>119</v>
      </c>
      <c r="F354" t="s">
        <v>2934</v>
      </c>
      <c r="G354" t="s">
        <v>2935</v>
      </c>
      <c r="H354">
        <v>5</v>
      </c>
      <c r="I354">
        <v>4.2699999999999996</v>
      </c>
      <c r="J354" t="s">
        <v>2936</v>
      </c>
      <c r="K354" t="s">
        <v>140</v>
      </c>
      <c r="L354">
        <v>391</v>
      </c>
      <c r="M354">
        <v>1997</v>
      </c>
      <c r="N354">
        <v>1985</v>
      </c>
      <c r="O354" s="2"/>
      <c r="P354" s="2">
        <v>42165</v>
      </c>
      <c r="Q354" t="s">
        <v>2418</v>
      </c>
      <c r="R354" t="s">
        <v>2937</v>
      </c>
      <c r="S354" t="s">
        <v>125</v>
      </c>
      <c r="T354" t="s">
        <v>119</v>
      </c>
      <c r="U354" t="s">
        <v>119</v>
      </c>
      <c r="V354" t="s">
        <v>119</v>
      </c>
      <c r="W354">
        <v>1</v>
      </c>
      <c r="X354">
        <v>0</v>
      </c>
    </row>
    <row r="355" spans="1:24" x14ac:dyDescent="0.25">
      <c r="A355">
        <v>354421</v>
      </c>
      <c r="B355" t="s">
        <v>2952</v>
      </c>
      <c r="C355" t="s">
        <v>928</v>
      </c>
      <c r="D355" t="s">
        <v>929</v>
      </c>
      <c r="E355" t="s">
        <v>119</v>
      </c>
      <c r="F355" t="s">
        <v>2953</v>
      </c>
      <c r="G355" t="s">
        <v>2954</v>
      </c>
      <c r="H355">
        <v>5</v>
      </c>
      <c r="I355">
        <v>4.0599999999999996</v>
      </c>
      <c r="J355" t="s">
        <v>1309</v>
      </c>
      <c r="K355" t="s">
        <v>147</v>
      </c>
      <c r="L355">
        <v>352</v>
      </c>
      <c r="M355">
        <v>2003</v>
      </c>
      <c r="N355">
        <v>2003</v>
      </c>
      <c r="O355" s="2"/>
      <c r="P355" s="2">
        <v>40391</v>
      </c>
      <c r="Q355" t="s">
        <v>2418</v>
      </c>
      <c r="R355" t="s">
        <v>2955</v>
      </c>
      <c r="S355" t="s">
        <v>125</v>
      </c>
      <c r="T355" t="s">
        <v>119</v>
      </c>
      <c r="U355" t="s">
        <v>119</v>
      </c>
      <c r="V355" t="s">
        <v>119</v>
      </c>
      <c r="W355">
        <v>1</v>
      </c>
      <c r="X355">
        <v>0</v>
      </c>
    </row>
    <row r="356" spans="1:24" x14ac:dyDescent="0.25">
      <c r="A356">
        <v>22529127</v>
      </c>
      <c r="B356" t="s">
        <v>1260</v>
      </c>
      <c r="C356" t="s">
        <v>1261</v>
      </c>
      <c r="D356" t="s">
        <v>1262</v>
      </c>
      <c r="E356" t="s">
        <v>1263</v>
      </c>
      <c r="F356" t="s">
        <v>1264</v>
      </c>
      <c r="G356" t="s">
        <v>1265</v>
      </c>
      <c r="H356">
        <v>0</v>
      </c>
      <c r="I356">
        <v>4.16</v>
      </c>
      <c r="J356" t="s">
        <v>1266</v>
      </c>
      <c r="K356" t="s">
        <v>147</v>
      </c>
      <c r="L356">
        <v>304</v>
      </c>
      <c r="M356">
        <v>2015</v>
      </c>
      <c r="N356">
        <v>2015</v>
      </c>
      <c r="O356" s="2"/>
      <c r="P356" s="2">
        <v>44149</v>
      </c>
      <c r="Q356" t="s">
        <v>132</v>
      </c>
      <c r="R356" t="s">
        <v>1267</v>
      </c>
      <c r="S356" t="s">
        <v>132</v>
      </c>
      <c r="T356" t="s">
        <v>119</v>
      </c>
      <c r="U356" t="s">
        <v>119</v>
      </c>
      <c r="V356" t="s">
        <v>119</v>
      </c>
      <c r="W356">
        <v>0</v>
      </c>
      <c r="X356">
        <v>0</v>
      </c>
    </row>
    <row r="357" spans="1:24" x14ac:dyDescent="0.25">
      <c r="A357">
        <v>59415</v>
      </c>
      <c r="B357" t="s">
        <v>2837</v>
      </c>
      <c r="C357" t="s">
        <v>2838</v>
      </c>
      <c r="D357" t="s">
        <v>2839</v>
      </c>
      <c r="E357" t="s">
        <v>2840</v>
      </c>
      <c r="F357" t="s">
        <v>2841</v>
      </c>
      <c r="G357" t="s">
        <v>2842</v>
      </c>
      <c r="H357">
        <v>0</v>
      </c>
      <c r="I357">
        <v>4.13</v>
      </c>
      <c r="J357" t="s">
        <v>2843</v>
      </c>
      <c r="K357" t="s">
        <v>140</v>
      </c>
      <c r="L357">
        <v>785</v>
      </c>
      <c r="M357">
        <v>2003</v>
      </c>
      <c r="N357">
        <v>1975</v>
      </c>
      <c r="O357" s="2"/>
      <c r="P357" s="2">
        <v>41163</v>
      </c>
      <c r="Q357" t="s">
        <v>2844</v>
      </c>
      <c r="R357" t="s">
        <v>2845</v>
      </c>
      <c r="S357" t="s">
        <v>132</v>
      </c>
      <c r="T357" t="s">
        <v>119</v>
      </c>
      <c r="U357" t="s">
        <v>119</v>
      </c>
      <c r="V357" t="s">
        <v>119</v>
      </c>
      <c r="W357">
        <v>0</v>
      </c>
      <c r="X357">
        <v>0</v>
      </c>
    </row>
    <row r="358" spans="1:24" x14ac:dyDescent="0.25">
      <c r="A358">
        <v>387190</v>
      </c>
      <c r="B358" t="s">
        <v>2593</v>
      </c>
      <c r="C358" t="s">
        <v>2594</v>
      </c>
      <c r="D358" t="s">
        <v>2595</v>
      </c>
      <c r="E358" t="s">
        <v>119</v>
      </c>
      <c r="F358" t="s">
        <v>2596</v>
      </c>
      <c r="G358" t="s">
        <v>2597</v>
      </c>
      <c r="H358">
        <v>0</v>
      </c>
      <c r="I358">
        <v>4.09</v>
      </c>
      <c r="J358" t="s">
        <v>2284</v>
      </c>
      <c r="K358" t="s">
        <v>140</v>
      </c>
      <c r="L358">
        <v>216</v>
      </c>
      <c r="M358">
        <v>2002</v>
      </c>
      <c r="N358">
        <v>2002</v>
      </c>
      <c r="O358" s="2"/>
      <c r="P358" s="2">
        <v>42850</v>
      </c>
      <c r="Q358" t="s">
        <v>2598</v>
      </c>
      <c r="R358" t="s">
        <v>2599</v>
      </c>
      <c r="S358" t="s">
        <v>132</v>
      </c>
      <c r="T358" t="s">
        <v>119</v>
      </c>
      <c r="U358" t="s">
        <v>119</v>
      </c>
      <c r="V358" t="s">
        <v>119</v>
      </c>
      <c r="W358">
        <v>0</v>
      </c>
      <c r="X358">
        <v>0</v>
      </c>
    </row>
    <row r="359" spans="1:24" x14ac:dyDescent="0.25">
      <c r="A359">
        <v>151751</v>
      </c>
      <c r="B359" t="s">
        <v>739</v>
      </c>
      <c r="C359" t="s">
        <v>740</v>
      </c>
      <c r="D359" t="s">
        <v>741</v>
      </c>
      <c r="E359" t="s">
        <v>119</v>
      </c>
      <c r="F359" t="s">
        <v>742</v>
      </c>
      <c r="G359" t="s">
        <v>743</v>
      </c>
      <c r="H359">
        <v>0</v>
      </c>
      <c r="I359">
        <v>3.66</v>
      </c>
      <c r="J359" t="s">
        <v>744</v>
      </c>
      <c r="K359" t="s">
        <v>140</v>
      </c>
      <c r="L359">
        <v>336</v>
      </c>
      <c r="M359">
        <v>2007</v>
      </c>
      <c r="N359">
        <v>2007</v>
      </c>
      <c r="O359" s="2"/>
      <c r="P359" s="2">
        <v>44563</v>
      </c>
      <c r="Q359" t="s">
        <v>132</v>
      </c>
      <c r="R359" t="s">
        <v>745</v>
      </c>
      <c r="S359" t="s">
        <v>132</v>
      </c>
      <c r="T359" t="s">
        <v>119</v>
      </c>
      <c r="U359" t="s">
        <v>119</v>
      </c>
      <c r="V359" t="s">
        <v>119</v>
      </c>
      <c r="W359">
        <v>0</v>
      </c>
      <c r="X359">
        <v>0</v>
      </c>
    </row>
    <row r="360" spans="1:24" x14ac:dyDescent="0.25">
      <c r="A360">
        <v>24490392</v>
      </c>
      <c r="B360" t="s">
        <v>2510</v>
      </c>
      <c r="C360" t="s">
        <v>2511</v>
      </c>
      <c r="D360" t="s">
        <v>2512</v>
      </c>
      <c r="E360" t="s">
        <v>2513</v>
      </c>
      <c r="F360" t="s">
        <v>120</v>
      </c>
      <c r="G360" t="s">
        <v>120</v>
      </c>
      <c r="H360">
        <v>0</v>
      </c>
      <c r="I360">
        <v>4.22</v>
      </c>
      <c r="J360" t="s">
        <v>119</v>
      </c>
      <c r="K360" t="s">
        <v>122</v>
      </c>
      <c r="L360">
        <v>376</v>
      </c>
      <c r="M360">
        <v>2015</v>
      </c>
      <c r="N360">
        <v>2015</v>
      </c>
      <c r="O360" s="2"/>
      <c r="P360" s="2">
        <v>42572</v>
      </c>
      <c r="Q360" t="s">
        <v>214</v>
      </c>
      <c r="R360" t="s">
        <v>2514</v>
      </c>
      <c r="S360" t="s">
        <v>132</v>
      </c>
      <c r="T360" t="s">
        <v>119</v>
      </c>
      <c r="U360" t="s">
        <v>119</v>
      </c>
      <c r="V360" t="s">
        <v>119</v>
      </c>
      <c r="W360">
        <v>0</v>
      </c>
      <c r="X360">
        <v>0</v>
      </c>
    </row>
    <row r="361" spans="1:24" x14ac:dyDescent="0.25">
      <c r="A361">
        <v>368593</v>
      </c>
      <c r="B361" t="s">
        <v>2753</v>
      </c>
      <c r="C361" t="s">
        <v>2577</v>
      </c>
      <c r="D361" t="s">
        <v>2578</v>
      </c>
      <c r="E361" t="s">
        <v>119</v>
      </c>
      <c r="F361" t="s">
        <v>2754</v>
      </c>
      <c r="G361" t="s">
        <v>2755</v>
      </c>
      <c r="H361">
        <v>5</v>
      </c>
      <c r="I361">
        <v>3.92</v>
      </c>
      <c r="J361" t="s">
        <v>1330</v>
      </c>
      <c r="K361" t="s">
        <v>273</v>
      </c>
      <c r="L361">
        <v>308</v>
      </c>
      <c r="M361">
        <v>2007</v>
      </c>
      <c r="N361">
        <v>2007</v>
      </c>
      <c r="O361" s="2"/>
      <c r="P361" s="2">
        <v>42165</v>
      </c>
      <c r="Q361" t="s">
        <v>2756</v>
      </c>
      <c r="R361" t="s">
        <v>2757</v>
      </c>
      <c r="S361" t="s">
        <v>125</v>
      </c>
      <c r="T361" t="s">
        <v>119</v>
      </c>
      <c r="U361" t="s">
        <v>119</v>
      </c>
      <c r="V361" t="s">
        <v>119</v>
      </c>
      <c r="W361">
        <v>1</v>
      </c>
      <c r="X361">
        <v>0</v>
      </c>
    </row>
    <row r="362" spans="1:24" x14ac:dyDescent="0.25">
      <c r="A362">
        <v>34189313</v>
      </c>
      <c r="B362" t="s">
        <v>2394</v>
      </c>
      <c r="C362" t="s">
        <v>2395</v>
      </c>
      <c r="D362" t="s">
        <v>2396</v>
      </c>
      <c r="E362" t="s">
        <v>119</v>
      </c>
      <c r="F362" t="s">
        <v>120</v>
      </c>
      <c r="G362" t="s">
        <v>120</v>
      </c>
      <c r="H362">
        <v>2</v>
      </c>
      <c r="I362">
        <v>3.88</v>
      </c>
      <c r="J362" t="s">
        <v>2397</v>
      </c>
      <c r="K362" t="s">
        <v>122</v>
      </c>
      <c r="L362">
        <v>267</v>
      </c>
      <c r="M362">
        <v>2017</v>
      </c>
      <c r="N362">
        <v>2017</v>
      </c>
      <c r="O362" s="2">
        <v>43030</v>
      </c>
      <c r="P362" s="2">
        <v>43010</v>
      </c>
      <c r="Q362" t="s">
        <v>2322</v>
      </c>
      <c r="R362" t="s">
        <v>2398</v>
      </c>
      <c r="S362" t="s">
        <v>125</v>
      </c>
      <c r="T362" t="s">
        <v>119</v>
      </c>
      <c r="U362" t="s">
        <v>119</v>
      </c>
      <c r="V362" t="s">
        <v>119</v>
      </c>
      <c r="W362">
        <v>1</v>
      </c>
      <c r="X362">
        <v>0</v>
      </c>
    </row>
    <row r="363" spans="1:24" x14ac:dyDescent="0.25">
      <c r="A363">
        <v>181206</v>
      </c>
      <c r="B363" t="s">
        <v>1995</v>
      </c>
      <c r="C363" t="s">
        <v>1996</v>
      </c>
      <c r="D363" t="s">
        <v>1997</v>
      </c>
      <c r="E363" t="s">
        <v>119</v>
      </c>
      <c r="F363" t="s">
        <v>1998</v>
      </c>
      <c r="G363" t="s">
        <v>1999</v>
      </c>
      <c r="H363">
        <v>4</v>
      </c>
      <c r="I363">
        <v>4</v>
      </c>
      <c r="J363" t="s">
        <v>1330</v>
      </c>
      <c r="K363" t="s">
        <v>140</v>
      </c>
      <c r="L363">
        <v>288</v>
      </c>
      <c r="M363">
        <v>1999</v>
      </c>
      <c r="N363">
        <v>1997</v>
      </c>
      <c r="O363" s="2">
        <v>43559</v>
      </c>
      <c r="P363" s="2">
        <v>42507</v>
      </c>
      <c r="Q363" t="s">
        <v>119</v>
      </c>
      <c r="R363" t="s">
        <v>119</v>
      </c>
      <c r="S363" t="s">
        <v>125</v>
      </c>
      <c r="T363" t="s">
        <v>119</v>
      </c>
      <c r="U363" t="s">
        <v>119</v>
      </c>
      <c r="V363" t="s">
        <v>119</v>
      </c>
      <c r="W363">
        <v>1</v>
      </c>
      <c r="X363">
        <v>0</v>
      </c>
    </row>
    <row r="364" spans="1:24" x14ac:dyDescent="0.25">
      <c r="A364">
        <v>23462640</v>
      </c>
      <c r="B364" t="s">
        <v>1762</v>
      </c>
      <c r="C364" t="s">
        <v>1763</v>
      </c>
      <c r="D364" t="s">
        <v>1764</v>
      </c>
      <c r="E364" t="s">
        <v>119</v>
      </c>
      <c r="F364" t="s">
        <v>1765</v>
      </c>
      <c r="G364" t="s">
        <v>1766</v>
      </c>
      <c r="H364">
        <v>0</v>
      </c>
      <c r="I364">
        <v>3.64</v>
      </c>
      <c r="J364" t="s">
        <v>381</v>
      </c>
      <c r="K364" t="s">
        <v>147</v>
      </c>
      <c r="L364">
        <v>288</v>
      </c>
      <c r="M364">
        <v>2015</v>
      </c>
      <c r="N364">
        <v>2015</v>
      </c>
      <c r="O364" s="2"/>
      <c r="P364" s="2">
        <v>43790</v>
      </c>
      <c r="Q364" t="s">
        <v>132</v>
      </c>
      <c r="R364" t="s">
        <v>1767</v>
      </c>
      <c r="S364" t="s">
        <v>132</v>
      </c>
      <c r="T364" t="s">
        <v>119</v>
      </c>
      <c r="U364" t="s">
        <v>119</v>
      </c>
      <c r="V364" t="s">
        <v>119</v>
      </c>
      <c r="W364">
        <v>0</v>
      </c>
      <c r="X364">
        <v>0</v>
      </c>
    </row>
    <row r="365" spans="1:24" x14ac:dyDescent="0.25">
      <c r="A365">
        <v>3590</v>
      </c>
      <c r="B365" t="s">
        <v>1140</v>
      </c>
      <c r="C365" t="s">
        <v>1141</v>
      </c>
      <c r="D365" t="s">
        <v>1142</v>
      </c>
      <c r="E365" t="s">
        <v>119</v>
      </c>
      <c r="F365" t="s">
        <v>120</v>
      </c>
      <c r="G365" t="s">
        <v>120</v>
      </c>
      <c r="H365">
        <v>4</v>
      </c>
      <c r="I365">
        <v>4.3</v>
      </c>
      <c r="J365" t="s">
        <v>1143</v>
      </c>
      <c r="K365" t="s">
        <v>140</v>
      </c>
      <c r="L365">
        <v>389</v>
      </c>
      <c r="M365">
        <v>1998</v>
      </c>
      <c r="N365">
        <v>1892</v>
      </c>
      <c r="O365" s="2"/>
      <c r="P365" s="2">
        <v>44197</v>
      </c>
      <c r="Q365" t="s">
        <v>119</v>
      </c>
      <c r="R365" t="s">
        <v>119</v>
      </c>
      <c r="S365" t="s">
        <v>125</v>
      </c>
      <c r="T365" t="s">
        <v>119</v>
      </c>
      <c r="U365" t="s">
        <v>119</v>
      </c>
      <c r="V365" t="s">
        <v>119</v>
      </c>
      <c r="W365">
        <v>1</v>
      </c>
      <c r="X365">
        <v>0</v>
      </c>
    </row>
    <row r="366" spans="1:24" x14ac:dyDescent="0.25">
      <c r="A366">
        <v>865</v>
      </c>
      <c r="B366" t="s">
        <v>2819</v>
      </c>
      <c r="C366" t="s">
        <v>1569</v>
      </c>
      <c r="D366" t="s">
        <v>1570</v>
      </c>
      <c r="E366" t="s">
        <v>1571</v>
      </c>
      <c r="F366" t="s">
        <v>2820</v>
      </c>
      <c r="G366" t="s">
        <v>2821</v>
      </c>
      <c r="H366">
        <v>5</v>
      </c>
      <c r="I366">
        <v>3.9</v>
      </c>
      <c r="J366" t="s">
        <v>241</v>
      </c>
      <c r="K366" t="s">
        <v>140</v>
      </c>
      <c r="L366">
        <v>197</v>
      </c>
      <c r="M366">
        <v>1993</v>
      </c>
      <c r="N366">
        <v>1988</v>
      </c>
      <c r="O366" s="2"/>
      <c r="P366" s="2">
        <v>42165</v>
      </c>
      <c r="Q366" t="s">
        <v>609</v>
      </c>
      <c r="R366" t="s">
        <v>2822</v>
      </c>
      <c r="S366" t="s">
        <v>125</v>
      </c>
      <c r="T366" t="s">
        <v>119</v>
      </c>
      <c r="U366" t="s">
        <v>119</v>
      </c>
      <c r="V366" t="s">
        <v>119</v>
      </c>
      <c r="W366">
        <v>1</v>
      </c>
      <c r="X366">
        <v>0</v>
      </c>
    </row>
    <row r="367" spans="1:24" x14ac:dyDescent="0.25">
      <c r="A367">
        <v>54898389</v>
      </c>
      <c r="B367" t="s">
        <v>1010</v>
      </c>
      <c r="C367" t="s">
        <v>1011</v>
      </c>
      <c r="D367" t="s">
        <v>1012</v>
      </c>
      <c r="E367" t="s">
        <v>119</v>
      </c>
      <c r="F367" t="s">
        <v>120</v>
      </c>
      <c r="G367" t="s">
        <v>1013</v>
      </c>
      <c r="H367">
        <v>5</v>
      </c>
      <c r="I367">
        <v>4.5</v>
      </c>
      <c r="J367" t="s">
        <v>1014</v>
      </c>
      <c r="K367" t="s">
        <v>273</v>
      </c>
      <c r="L367">
        <v>244</v>
      </c>
      <c r="M367">
        <v>2020</v>
      </c>
      <c r="N367">
        <v>2020</v>
      </c>
      <c r="O367" s="2">
        <v>44293</v>
      </c>
      <c r="P367" s="2">
        <v>44269</v>
      </c>
      <c r="Q367" t="s">
        <v>119</v>
      </c>
      <c r="R367" t="s">
        <v>119</v>
      </c>
      <c r="S367" t="s">
        <v>125</v>
      </c>
      <c r="T367" t="s">
        <v>119</v>
      </c>
      <c r="U367" t="s">
        <v>119</v>
      </c>
      <c r="V367" t="s">
        <v>119</v>
      </c>
      <c r="W367">
        <v>1</v>
      </c>
      <c r="X367">
        <v>0</v>
      </c>
    </row>
    <row r="368" spans="1:24" x14ac:dyDescent="0.25">
      <c r="A368">
        <v>13721709</v>
      </c>
      <c r="B368" t="s">
        <v>2681</v>
      </c>
      <c r="C368" t="s">
        <v>243</v>
      </c>
      <c r="D368" t="s">
        <v>244</v>
      </c>
      <c r="E368" t="s">
        <v>119</v>
      </c>
      <c r="F368" t="s">
        <v>2682</v>
      </c>
      <c r="G368" t="s">
        <v>2683</v>
      </c>
      <c r="H368">
        <v>0</v>
      </c>
      <c r="I368">
        <v>4.03</v>
      </c>
      <c r="J368" t="s">
        <v>245</v>
      </c>
      <c r="K368" t="s">
        <v>273</v>
      </c>
      <c r="L368">
        <v>256</v>
      </c>
      <c r="M368">
        <v>2012</v>
      </c>
      <c r="N368">
        <v>2012</v>
      </c>
      <c r="O368" s="2"/>
      <c r="P368" s="2">
        <v>42625</v>
      </c>
      <c r="Q368" t="s">
        <v>132</v>
      </c>
      <c r="R368" t="s">
        <v>2684</v>
      </c>
      <c r="S368" t="s">
        <v>132</v>
      </c>
      <c r="T368" t="s">
        <v>119</v>
      </c>
      <c r="U368" t="s">
        <v>119</v>
      </c>
      <c r="V368" t="s">
        <v>119</v>
      </c>
      <c r="W368">
        <v>0</v>
      </c>
      <c r="X368">
        <v>0</v>
      </c>
    </row>
    <row r="369" spans="1:24" x14ac:dyDescent="0.25">
      <c r="A369">
        <v>38210</v>
      </c>
      <c r="B369" t="s">
        <v>1898</v>
      </c>
      <c r="C369" t="s">
        <v>173</v>
      </c>
      <c r="D369" t="s">
        <v>1899</v>
      </c>
      <c r="E369" t="s">
        <v>1900</v>
      </c>
      <c r="F369" t="s">
        <v>1901</v>
      </c>
      <c r="G369" t="s">
        <v>1902</v>
      </c>
      <c r="H369">
        <v>0</v>
      </c>
      <c r="I369">
        <v>4.16</v>
      </c>
      <c r="J369" t="s">
        <v>1903</v>
      </c>
      <c r="K369" t="s">
        <v>147</v>
      </c>
      <c r="L369">
        <v>336</v>
      </c>
      <c r="M369">
        <v>1998</v>
      </c>
      <c r="N369">
        <v>1998</v>
      </c>
      <c r="O369" s="2"/>
      <c r="P369" s="2">
        <v>43707</v>
      </c>
      <c r="Q369" t="s">
        <v>132</v>
      </c>
      <c r="R369" t="s">
        <v>1904</v>
      </c>
      <c r="S369" t="s">
        <v>132</v>
      </c>
      <c r="T369" t="s">
        <v>119</v>
      </c>
      <c r="U369" t="s">
        <v>119</v>
      </c>
      <c r="V369" t="s">
        <v>119</v>
      </c>
      <c r="W369">
        <v>0</v>
      </c>
      <c r="X369">
        <v>0</v>
      </c>
    </row>
    <row r="370" spans="1:24" x14ac:dyDescent="0.25">
      <c r="A370">
        <v>24806609</v>
      </c>
      <c r="B370" t="s">
        <v>1980</v>
      </c>
      <c r="C370" t="s">
        <v>1981</v>
      </c>
      <c r="D370" t="s">
        <v>1982</v>
      </c>
      <c r="E370" t="s">
        <v>119</v>
      </c>
      <c r="F370" t="s">
        <v>120</v>
      </c>
      <c r="G370" t="s">
        <v>120</v>
      </c>
      <c r="H370">
        <v>0</v>
      </c>
      <c r="I370">
        <v>3.9</v>
      </c>
      <c r="J370" t="s">
        <v>1981</v>
      </c>
      <c r="K370" t="s">
        <v>122</v>
      </c>
      <c r="L370">
        <v>84</v>
      </c>
      <c r="M370">
        <v>2013</v>
      </c>
      <c r="N370">
        <v>2013</v>
      </c>
      <c r="O370" s="2"/>
      <c r="P370" s="2">
        <v>42949</v>
      </c>
      <c r="Q370" t="s">
        <v>1983</v>
      </c>
      <c r="R370" t="s">
        <v>1984</v>
      </c>
      <c r="S370" t="s">
        <v>132</v>
      </c>
      <c r="T370" t="s">
        <v>119</v>
      </c>
      <c r="U370" t="s">
        <v>119</v>
      </c>
      <c r="V370" t="s">
        <v>119</v>
      </c>
      <c r="W370">
        <v>1</v>
      </c>
      <c r="X370">
        <v>0</v>
      </c>
    </row>
    <row r="371" spans="1:24" x14ac:dyDescent="0.25">
      <c r="A371">
        <v>857333</v>
      </c>
      <c r="B371" t="s">
        <v>2238</v>
      </c>
      <c r="C371" t="s">
        <v>2239</v>
      </c>
      <c r="D371" t="s">
        <v>2240</v>
      </c>
      <c r="E371" t="s">
        <v>119</v>
      </c>
      <c r="F371" t="s">
        <v>2241</v>
      </c>
      <c r="G371" t="s">
        <v>2242</v>
      </c>
      <c r="H371">
        <v>0</v>
      </c>
      <c r="I371">
        <v>4.05</v>
      </c>
      <c r="J371" t="s">
        <v>661</v>
      </c>
      <c r="K371" t="s">
        <v>147</v>
      </c>
      <c r="L371">
        <v>265</v>
      </c>
      <c r="M371">
        <v>2007</v>
      </c>
      <c r="N371">
        <v>2007</v>
      </c>
      <c r="O371" s="2"/>
      <c r="P371" s="2">
        <v>43394</v>
      </c>
      <c r="Q371" t="s">
        <v>132</v>
      </c>
      <c r="R371" t="s">
        <v>2243</v>
      </c>
      <c r="S371" t="s">
        <v>132</v>
      </c>
      <c r="T371" t="s">
        <v>119</v>
      </c>
      <c r="U371" t="s">
        <v>119</v>
      </c>
      <c r="V371" t="s">
        <v>119</v>
      </c>
      <c r="W371">
        <v>0</v>
      </c>
      <c r="X371">
        <v>0</v>
      </c>
    </row>
    <row r="372" spans="1:24" x14ac:dyDescent="0.25">
      <c r="A372">
        <v>974787</v>
      </c>
      <c r="B372" t="s">
        <v>766</v>
      </c>
      <c r="C372" t="s">
        <v>197</v>
      </c>
      <c r="D372" t="s">
        <v>198</v>
      </c>
      <c r="E372" t="s">
        <v>119</v>
      </c>
      <c r="F372" t="s">
        <v>767</v>
      </c>
      <c r="G372" t="s">
        <v>768</v>
      </c>
      <c r="H372">
        <v>5</v>
      </c>
      <c r="I372">
        <v>4.2300000000000004</v>
      </c>
      <c r="J372" t="s">
        <v>201</v>
      </c>
      <c r="K372" t="s">
        <v>147</v>
      </c>
      <c r="L372">
        <v>240</v>
      </c>
      <c r="M372">
        <v>2007</v>
      </c>
      <c r="O372" s="2">
        <v>44557</v>
      </c>
      <c r="P372" s="2">
        <v>44535</v>
      </c>
      <c r="Q372" t="s">
        <v>119</v>
      </c>
      <c r="R372" t="s">
        <v>119</v>
      </c>
      <c r="S372" t="s">
        <v>125</v>
      </c>
      <c r="T372" t="s">
        <v>769</v>
      </c>
      <c r="U372" t="s">
        <v>119</v>
      </c>
      <c r="V372" t="s">
        <v>119</v>
      </c>
      <c r="W372">
        <v>1</v>
      </c>
      <c r="X372">
        <v>0</v>
      </c>
    </row>
    <row r="373" spans="1:24" x14ac:dyDescent="0.25">
      <c r="A373">
        <v>22835624</v>
      </c>
      <c r="B373" t="s">
        <v>1336</v>
      </c>
      <c r="C373" t="s">
        <v>1337</v>
      </c>
      <c r="D373" t="s">
        <v>1338</v>
      </c>
      <c r="E373" t="s">
        <v>119</v>
      </c>
      <c r="F373" t="s">
        <v>1339</v>
      </c>
      <c r="G373" t="s">
        <v>1340</v>
      </c>
      <c r="H373">
        <v>0</v>
      </c>
      <c r="I373">
        <v>3.88</v>
      </c>
      <c r="J373" t="s">
        <v>388</v>
      </c>
      <c r="K373" t="s">
        <v>147</v>
      </c>
      <c r="L373">
        <v>336</v>
      </c>
      <c r="M373">
        <v>2015</v>
      </c>
      <c r="N373">
        <v>2004</v>
      </c>
      <c r="O373" s="2"/>
      <c r="P373" s="2">
        <v>44070</v>
      </c>
      <c r="Q373" t="s">
        <v>132</v>
      </c>
      <c r="R373" t="s">
        <v>1341</v>
      </c>
      <c r="S373" t="s">
        <v>132</v>
      </c>
      <c r="T373" t="s">
        <v>119</v>
      </c>
      <c r="U373" t="s">
        <v>119</v>
      </c>
      <c r="V373" t="s">
        <v>119</v>
      </c>
      <c r="W373">
        <v>0</v>
      </c>
      <c r="X373">
        <v>0</v>
      </c>
    </row>
    <row r="374" spans="1:24" x14ac:dyDescent="0.25">
      <c r="A374">
        <v>16248196</v>
      </c>
      <c r="B374" t="s">
        <v>2046</v>
      </c>
      <c r="C374" t="s">
        <v>2047</v>
      </c>
      <c r="D374" t="s">
        <v>2048</v>
      </c>
      <c r="E374" t="s">
        <v>119</v>
      </c>
      <c r="F374" t="s">
        <v>2049</v>
      </c>
      <c r="G374" t="s">
        <v>2050</v>
      </c>
      <c r="H374">
        <v>4</v>
      </c>
      <c r="I374">
        <v>3.85</v>
      </c>
      <c r="J374" t="s">
        <v>317</v>
      </c>
      <c r="K374" t="s">
        <v>147</v>
      </c>
      <c r="L374">
        <v>384</v>
      </c>
      <c r="M374">
        <v>2013</v>
      </c>
      <c r="N374">
        <v>2011</v>
      </c>
      <c r="O374" s="2">
        <v>43528</v>
      </c>
      <c r="P374" s="2">
        <v>43521</v>
      </c>
      <c r="Q374" t="s">
        <v>119</v>
      </c>
      <c r="R374" t="s">
        <v>119</v>
      </c>
      <c r="S374" t="s">
        <v>125</v>
      </c>
      <c r="T374" t="s">
        <v>119</v>
      </c>
      <c r="U374" t="s">
        <v>119</v>
      </c>
      <c r="V374" t="s">
        <v>119</v>
      </c>
      <c r="W374">
        <v>1</v>
      </c>
      <c r="X374">
        <v>0</v>
      </c>
    </row>
    <row r="375" spans="1:24" x14ac:dyDescent="0.25">
      <c r="A375">
        <v>12187787</v>
      </c>
      <c r="B375" t="s">
        <v>1057</v>
      </c>
      <c r="C375" t="s">
        <v>1058</v>
      </c>
      <c r="D375" t="s">
        <v>1059</v>
      </c>
      <c r="E375" t="s">
        <v>119</v>
      </c>
      <c r="F375" t="s">
        <v>120</v>
      </c>
      <c r="G375" t="s">
        <v>120</v>
      </c>
      <c r="H375">
        <v>0</v>
      </c>
      <c r="I375">
        <v>4.18</v>
      </c>
      <c r="J375" t="s">
        <v>336</v>
      </c>
      <c r="K375" t="s">
        <v>122</v>
      </c>
      <c r="L375">
        <v>496</v>
      </c>
      <c r="M375">
        <v>2011</v>
      </c>
      <c r="N375">
        <v>2011</v>
      </c>
      <c r="O375" s="2"/>
      <c r="P375" s="2">
        <v>44250</v>
      </c>
      <c r="Q375" t="s">
        <v>132</v>
      </c>
      <c r="R375" t="s">
        <v>1060</v>
      </c>
      <c r="S375" t="s">
        <v>132</v>
      </c>
      <c r="T375" t="s">
        <v>119</v>
      </c>
      <c r="U375" t="s">
        <v>119</v>
      </c>
      <c r="V375" t="s">
        <v>119</v>
      </c>
      <c r="W375">
        <v>0</v>
      </c>
      <c r="X375">
        <v>0</v>
      </c>
    </row>
    <row r="376" spans="1:24" x14ac:dyDescent="0.25">
      <c r="A376">
        <v>49814228</v>
      </c>
      <c r="B376" t="s">
        <v>233</v>
      </c>
      <c r="C376" t="s">
        <v>234</v>
      </c>
      <c r="D376" t="s">
        <v>235</v>
      </c>
      <c r="E376" t="s">
        <v>119</v>
      </c>
      <c r="F376" t="s">
        <v>236</v>
      </c>
      <c r="G376" t="s">
        <v>237</v>
      </c>
      <c r="H376">
        <v>4</v>
      </c>
      <c r="I376">
        <v>4.08</v>
      </c>
      <c r="J376" t="s">
        <v>238</v>
      </c>
      <c r="K376" t="s">
        <v>147</v>
      </c>
      <c r="L376">
        <v>368</v>
      </c>
      <c r="M376">
        <v>2020</v>
      </c>
      <c r="N376">
        <v>2020</v>
      </c>
      <c r="O376" s="2">
        <v>44876</v>
      </c>
      <c r="P376" s="2">
        <v>44653</v>
      </c>
      <c r="Q376" t="s">
        <v>119</v>
      </c>
      <c r="R376" t="s">
        <v>119</v>
      </c>
      <c r="S376" t="s">
        <v>125</v>
      </c>
      <c r="T376" t="s">
        <v>119</v>
      </c>
      <c r="U376" t="s">
        <v>119</v>
      </c>
      <c r="V376" t="s">
        <v>119</v>
      </c>
      <c r="W376">
        <v>1</v>
      </c>
      <c r="X376">
        <v>1</v>
      </c>
    </row>
    <row r="377" spans="1:24" x14ac:dyDescent="0.25">
      <c r="A377">
        <v>2962025</v>
      </c>
      <c r="B377" t="s">
        <v>2730</v>
      </c>
      <c r="C377" t="s">
        <v>1361</v>
      </c>
      <c r="D377" t="s">
        <v>1362</v>
      </c>
      <c r="E377" t="s">
        <v>119</v>
      </c>
      <c r="F377" t="s">
        <v>2731</v>
      </c>
      <c r="G377" t="s">
        <v>2732</v>
      </c>
      <c r="H377">
        <v>4</v>
      </c>
      <c r="I377">
        <v>3.95</v>
      </c>
      <c r="J377" t="s">
        <v>1148</v>
      </c>
      <c r="K377" t="s">
        <v>140</v>
      </c>
      <c r="L377">
        <v>480</v>
      </c>
      <c r="M377">
        <v>2010</v>
      </c>
      <c r="N377">
        <v>2007</v>
      </c>
      <c r="O377" s="2">
        <v>42248</v>
      </c>
      <c r="P377" s="2">
        <v>42165</v>
      </c>
      <c r="Q377" t="s">
        <v>119</v>
      </c>
      <c r="R377" t="s">
        <v>119</v>
      </c>
      <c r="S377" t="s">
        <v>125</v>
      </c>
      <c r="T377" t="s">
        <v>119</v>
      </c>
      <c r="U377" t="s">
        <v>119</v>
      </c>
      <c r="V377" t="s">
        <v>119</v>
      </c>
      <c r="W377">
        <v>1</v>
      </c>
      <c r="X377">
        <v>0</v>
      </c>
    </row>
    <row r="378" spans="1:24" x14ac:dyDescent="0.25">
      <c r="A378">
        <v>29496453</v>
      </c>
      <c r="B378" t="s">
        <v>2051</v>
      </c>
      <c r="C378" t="s">
        <v>173</v>
      </c>
      <c r="D378" t="s">
        <v>1899</v>
      </c>
      <c r="E378" t="s">
        <v>2052</v>
      </c>
      <c r="F378" t="s">
        <v>2053</v>
      </c>
      <c r="G378" t="s">
        <v>2054</v>
      </c>
      <c r="H378">
        <v>4</v>
      </c>
      <c r="I378">
        <v>4.38</v>
      </c>
      <c r="J378" t="s">
        <v>225</v>
      </c>
      <c r="K378" t="s">
        <v>147</v>
      </c>
      <c r="L378">
        <v>354</v>
      </c>
      <c r="M378">
        <v>2016</v>
      </c>
      <c r="N378">
        <v>2016</v>
      </c>
      <c r="O378" s="2">
        <v>43519</v>
      </c>
      <c r="P378" s="2">
        <v>43510</v>
      </c>
      <c r="Q378" t="s">
        <v>119</v>
      </c>
      <c r="R378" t="s">
        <v>119</v>
      </c>
      <c r="S378" t="s">
        <v>125</v>
      </c>
      <c r="T378" t="s">
        <v>119</v>
      </c>
      <c r="U378" t="s">
        <v>119</v>
      </c>
      <c r="V378" t="s">
        <v>119</v>
      </c>
      <c r="W378">
        <v>1</v>
      </c>
      <c r="X378">
        <v>0</v>
      </c>
    </row>
    <row r="379" spans="1:24" x14ac:dyDescent="0.25">
      <c r="A379">
        <v>42348818</v>
      </c>
      <c r="B379" t="s">
        <v>1334</v>
      </c>
      <c r="C379" t="s">
        <v>268</v>
      </c>
      <c r="D379" t="s">
        <v>269</v>
      </c>
      <c r="E379" t="s">
        <v>119</v>
      </c>
      <c r="F379" t="s">
        <v>120</v>
      </c>
      <c r="G379" t="s">
        <v>120</v>
      </c>
      <c r="H379">
        <v>0</v>
      </c>
      <c r="I379">
        <v>4.1100000000000003</v>
      </c>
      <c r="J379" t="s">
        <v>1148</v>
      </c>
      <c r="K379" t="s">
        <v>122</v>
      </c>
      <c r="L379">
        <v>240</v>
      </c>
      <c r="M379">
        <v>2020</v>
      </c>
      <c r="N379">
        <v>2019</v>
      </c>
      <c r="O379" s="2"/>
      <c r="P379" s="2">
        <v>44076</v>
      </c>
      <c r="Q379" t="s">
        <v>132</v>
      </c>
      <c r="R379" t="s">
        <v>1335</v>
      </c>
      <c r="S379" t="s">
        <v>132</v>
      </c>
      <c r="T379" t="s">
        <v>119</v>
      </c>
      <c r="U379" t="s">
        <v>119</v>
      </c>
      <c r="V379" t="s">
        <v>119</v>
      </c>
      <c r="W379">
        <v>0</v>
      </c>
      <c r="X379">
        <v>0</v>
      </c>
    </row>
    <row r="380" spans="1:24" x14ac:dyDescent="0.25">
      <c r="A380">
        <v>39071691</v>
      </c>
      <c r="B380" t="s">
        <v>1076</v>
      </c>
      <c r="C380" t="s">
        <v>1077</v>
      </c>
      <c r="D380" t="s">
        <v>1078</v>
      </c>
      <c r="E380" t="s">
        <v>119</v>
      </c>
      <c r="F380" t="s">
        <v>120</v>
      </c>
      <c r="G380" t="s">
        <v>120</v>
      </c>
      <c r="H380">
        <v>0</v>
      </c>
      <c r="I380">
        <v>4.05</v>
      </c>
      <c r="J380" t="s">
        <v>388</v>
      </c>
      <c r="K380" t="s">
        <v>122</v>
      </c>
      <c r="L380">
        <v>336</v>
      </c>
      <c r="M380">
        <v>2018</v>
      </c>
      <c r="N380">
        <v>2018</v>
      </c>
      <c r="O380" s="2"/>
      <c r="P380" s="2">
        <v>44216</v>
      </c>
      <c r="Q380" t="s">
        <v>132</v>
      </c>
      <c r="R380" t="s">
        <v>1079</v>
      </c>
      <c r="S380" t="s">
        <v>132</v>
      </c>
      <c r="T380" t="s">
        <v>119</v>
      </c>
      <c r="U380" t="s">
        <v>119</v>
      </c>
      <c r="V380" t="s">
        <v>119</v>
      </c>
      <c r="W380">
        <v>0</v>
      </c>
      <c r="X380">
        <v>0</v>
      </c>
    </row>
    <row r="381" spans="1:24" x14ac:dyDescent="0.25">
      <c r="A381">
        <v>11910905</v>
      </c>
      <c r="B381" t="s">
        <v>853</v>
      </c>
      <c r="C381" t="s">
        <v>854</v>
      </c>
      <c r="D381" t="s">
        <v>855</v>
      </c>
      <c r="E381" t="s">
        <v>119</v>
      </c>
      <c r="F381" t="s">
        <v>856</v>
      </c>
      <c r="G381" t="s">
        <v>857</v>
      </c>
      <c r="H381">
        <v>5</v>
      </c>
      <c r="I381">
        <v>3.92</v>
      </c>
      <c r="J381" t="s">
        <v>388</v>
      </c>
      <c r="K381" t="s">
        <v>147</v>
      </c>
      <c r="L381">
        <v>264</v>
      </c>
      <c r="M381">
        <v>2012</v>
      </c>
      <c r="N381">
        <v>2012</v>
      </c>
      <c r="O381" s="2">
        <v>44451</v>
      </c>
      <c r="P381" s="2">
        <v>43394</v>
      </c>
      <c r="Q381" t="s">
        <v>119</v>
      </c>
      <c r="R381" t="s">
        <v>119</v>
      </c>
      <c r="S381" t="s">
        <v>125</v>
      </c>
      <c r="T381" t="s">
        <v>769</v>
      </c>
      <c r="U381" t="s">
        <v>119</v>
      </c>
      <c r="V381" t="s">
        <v>119</v>
      </c>
      <c r="W381">
        <v>1</v>
      </c>
      <c r="X381">
        <v>0</v>
      </c>
    </row>
    <row r="382" spans="1:24" x14ac:dyDescent="0.25">
      <c r="A382">
        <v>6667514</v>
      </c>
      <c r="B382" t="s">
        <v>699</v>
      </c>
      <c r="C382" t="s">
        <v>700</v>
      </c>
      <c r="D382" t="s">
        <v>701</v>
      </c>
      <c r="E382" t="s">
        <v>119</v>
      </c>
      <c r="F382" t="s">
        <v>702</v>
      </c>
      <c r="G382" t="s">
        <v>703</v>
      </c>
      <c r="H382">
        <v>0</v>
      </c>
      <c r="I382">
        <v>4.03</v>
      </c>
      <c r="J382" t="s">
        <v>704</v>
      </c>
      <c r="K382" t="s">
        <v>147</v>
      </c>
      <c r="L382">
        <v>208</v>
      </c>
      <c r="M382">
        <v>2009</v>
      </c>
      <c r="N382">
        <v>2009</v>
      </c>
      <c r="O382" s="2"/>
      <c r="P382" s="2">
        <v>44572</v>
      </c>
      <c r="Q382" t="s">
        <v>132</v>
      </c>
      <c r="R382" t="s">
        <v>705</v>
      </c>
      <c r="S382" t="s">
        <v>132</v>
      </c>
      <c r="T382" t="s">
        <v>119</v>
      </c>
      <c r="U382" t="s">
        <v>119</v>
      </c>
      <c r="V382" t="s">
        <v>119</v>
      </c>
      <c r="W382">
        <v>0</v>
      </c>
      <c r="X382">
        <v>0</v>
      </c>
    </row>
    <row r="383" spans="1:24" x14ac:dyDescent="0.25">
      <c r="A383">
        <v>55338968</v>
      </c>
      <c r="B383" t="s">
        <v>714</v>
      </c>
      <c r="C383" t="s">
        <v>715</v>
      </c>
      <c r="D383" t="s">
        <v>716</v>
      </c>
      <c r="E383" t="s">
        <v>119</v>
      </c>
      <c r="F383" t="s">
        <v>717</v>
      </c>
      <c r="G383" t="s">
        <v>718</v>
      </c>
      <c r="H383">
        <v>0</v>
      </c>
      <c r="I383">
        <v>4.2</v>
      </c>
      <c r="J383" t="s">
        <v>381</v>
      </c>
      <c r="K383" t="s">
        <v>147</v>
      </c>
      <c r="L383">
        <v>386</v>
      </c>
      <c r="M383">
        <v>2021</v>
      </c>
      <c r="O383" s="2"/>
      <c r="P383" s="2">
        <v>44565</v>
      </c>
      <c r="Q383" t="s">
        <v>132</v>
      </c>
      <c r="R383" t="s">
        <v>719</v>
      </c>
      <c r="S383" t="s">
        <v>132</v>
      </c>
      <c r="T383" t="s">
        <v>119</v>
      </c>
      <c r="U383" t="s">
        <v>119</v>
      </c>
      <c r="V383" t="s">
        <v>119</v>
      </c>
      <c r="W383">
        <v>0</v>
      </c>
      <c r="X383">
        <v>0</v>
      </c>
    </row>
    <row r="384" spans="1:24" x14ac:dyDescent="0.25">
      <c r="A384">
        <v>9420697</v>
      </c>
      <c r="B384" t="s">
        <v>846</v>
      </c>
      <c r="C384" t="s">
        <v>62</v>
      </c>
      <c r="D384" t="s">
        <v>847</v>
      </c>
      <c r="E384" t="s">
        <v>119</v>
      </c>
      <c r="F384" t="s">
        <v>120</v>
      </c>
      <c r="G384" t="s">
        <v>120</v>
      </c>
      <c r="H384">
        <v>0</v>
      </c>
      <c r="I384">
        <v>4.24</v>
      </c>
      <c r="J384" t="s">
        <v>848</v>
      </c>
      <c r="K384" t="s">
        <v>122</v>
      </c>
      <c r="L384">
        <v>162</v>
      </c>
      <c r="N384">
        <v>2010</v>
      </c>
      <c r="O384" s="2"/>
      <c r="P384" s="2">
        <v>44470</v>
      </c>
      <c r="Q384" t="s">
        <v>132</v>
      </c>
      <c r="R384" t="s">
        <v>849</v>
      </c>
      <c r="S384" t="s">
        <v>132</v>
      </c>
      <c r="T384" t="s">
        <v>119</v>
      </c>
      <c r="U384" t="s">
        <v>119</v>
      </c>
      <c r="V384" t="s">
        <v>119</v>
      </c>
      <c r="W384">
        <v>0</v>
      </c>
      <c r="X384">
        <v>0</v>
      </c>
    </row>
    <row r="385" spans="1:24" x14ac:dyDescent="0.25">
      <c r="A385">
        <v>25559349</v>
      </c>
      <c r="B385" t="s">
        <v>2440</v>
      </c>
      <c r="C385" t="s">
        <v>2441</v>
      </c>
      <c r="D385" t="s">
        <v>2442</v>
      </c>
      <c r="E385" t="s">
        <v>119</v>
      </c>
      <c r="F385" t="s">
        <v>120</v>
      </c>
      <c r="G385" t="s">
        <v>120</v>
      </c>
      <c r="H385">
        <v>0</v>
      </c>
      <c r="I385">
        <v>3.7</v>
      </c>
      <c r="J385" t="s">
        <v>119</v>
      </c>
      <c r="K385" t="s">
        <v>122</v>
      </c>
      <c r="L385">
        <v>258</v>
      </c>
      <c r="M385">
        <v>2015</v>
      </c>
      <c r="N385">
        <v>2015</v>
      </c>
      <c r="O385" s="2"/>
      <c r="P385" s="2">
        <v>42949</v>
      </c>
      <c r="Q385" t="s">
        <v>1983</v>
      </c>
      <c r="R385" t="s">
        <v>2443</v>
      </c>
      <c r="S385" t="s">
        <v>132</v>
      </c>
      <c r="T385" t="s">
        <v>119</v>
      </c>
      <c r="U385" t="s">
        <v>119</v>
      </c>
      <c r="V385" t="s">
        <v>119</v>
      </c>
      <c r="W385">
        <v>1</v>
      </c>
      <c r="X385">
        <v>0</v>
      </c>
    </row>
    <row r="386" spans="1:24" x14ac:dyDescent="0.25">
      <c r="A386">
        <v>7103545</v>
      </c>
      <c r="B386" t="s">
        <v>1864</v>
      </c>
      <c r="C386" t="s">
        <v>1865</v>
      </c>
      <c r="D386" t="s">
        <v>1866</v>
      </c>
      <c r="E386" t="s">
        <v>119</v>
      </c>
      <c r="F386" t="s">
        <v>1867</v>
      </c>
      <c r="G386" t="s">
        <v>1868</v>
      </c>
      <c r="H386">
        <v>4</v>
      </c>
      <c r="I386">
        <v>4.3</v>
      </c>
      <c r="J386" t="s">
        <v>1869</v>
      </c>
      <c r="K386" t="s">
        <v>140</v>
      </c>
      <c r="L386">
        <v>300</v>
      </c>
      <c r="M386">
        <v>2010</v>
      </c>
      <c r="N386">
        <v>2010</v>
      </c>
      <c r="O386" s="2">
        <v>43646</v>
      </c>
      <c r="P386" s="2">
        <v>43486</v>
      </c>
      <c r="Q386" t="s">
        <v>1870</v>
      </c>
      <c r="R386" t="s">
        <v>1871</v>
      </c>
      <c r="S386" t="s">
        <v>125</v>
      </c>
      <c r="T386" t="s">
        <v>119</v>
      </c>
      <c r="U386" t="s">
        <v>119</v>
      </c>
      <c r="V386" t="s">
        <v>119</v>
      </c>
      <c r="W386">
        <v>1</v>
      </c>
      <c r="X386">
        <v>0</v>
      </c>
    </row>
    <row r="387" spans="1:24" x14ac:dyDescent="0.25">
      <c r="A387">
        <v>3805</v>
      </c>
      <c r="B387" t="s">
        <v>760</v>
      </c>
      <c r="C387" t="s">
        <v>761</v>
      </c>
      <c r="D387" t="s">
        <v>762</v>
      </c>
      <c r="E387" t="s">
        <v>119</v>
      </c>
      <c r="F387" t="s">
        <v>763</v>
      </c>
      <c r="G387" t="s">
        <v>764</v>
      </c>
      <c r="H387">
        <v>4</v>
      </c>
      <c r="I387">
        <v>3.82</v>
      </c>
      <c r="J387" t="s">
        <v>765</v>
      </c>
      <c r="K387" t="s">
        <v>140</v>
      </c>
      <c r="L387">
        <v>653</v>
      </c>
      <c r="M387">
        <v>2002</v>
      </c>
      <c r="N387">
        <v>2001</v>
      </c>
      <c r="O387" s="2">
        <v>44560</v>
      </c>
      <c r="P387" s="2">
        <v>44065</v>
      </c>
      <c r="Q387" t="s">
        <v>119</v>
      </c>
      <c r="R387" t="s">
        <v>119</v>
      </c>
      <c r="S387" t="s">
        <v>125</v>
      </c>
      <c r="T387" t="s">
        <v>119</v>
      </c>
      <c r="U387" t="s">
        <v>119</v>
      </c>
      <c r="V387" t="s">
        <v>119</v>
      </c>
      <c r="W387">
        <v>1</v>
      </c>
      <c r="X387">
        <v>0</v>
      </c>
    </row>
    <row r="388" spans="1:24" x14ac:dyDescent="0.25">
      <c r="A388">
        <v>6950010</v>
      </c>
      <c r="B388" t="s">
        <v>2330</v>
      </c>
      <c r="C388" t="s">
        <v>2331</v>
      </c>
      <c r="D388" t="s">
        <v>2332</v>
      </c>
      <c r="E388" t="s">
        <v>2333</v>
      </c>
      <c r="F388" t="s">
        <v>2334</v>
      </c>
      <c r="G388" t="s">
        <v>2335</v>
      </c>
      <c r="H388">
        <v>3</v>
      </c>
      <c r="I388">
        <v>3.98</v>
      </c>
      <c r="J388" t="s">
        <v>725</v>
      </c>
      <c r="K388" t="s">
        <v>140</v>
      </c>
      <c r="L388">
        <v>198</v>
      </c>
      <c r="M388">
        <v>2010</v>
      </c>
      <c r="N388">
        <v>2008</v>
      </c>
      <c r="O388" s="2">
        <v>43237</v>
      </c>
      <c r="P388" s="2">
        <v>43229</v>
      </c>
      <c r="Q388" t="s">
        <v>2336</v>
      </c>
      <c r="R388" t="s">
        <v>2337</v>
      </c>
      <c r="S388" t="s">
        <v>125</v>
      </c>
      <c r="T388" t="s">
        <v>119</v>
      </c>
      <c r="U388" t="s">
        <v>119</v>
      </c>
      <c r="V388" t="s">
        <v>119</v>
      </c>
      <c r="W388">
        <v>1</v>
      </c>
      <c r="X388">
        <v>0</v>
      </c>
    </row>
    <row r="389" spans="1:24" x14ac:dyDescent="0.25">
      <c r="A389">
        <v>968</v>
      </c>
      <c r="B389" t="s">
        <v>1626</v>
      </c>
      <c r="C389" t="s">
        <v>1627</v>
      </c>
      <c r="D389" t="s">
        <v>1628</v>
      </c>
      <c r="E389" t="s">
        <v>119</v>
      </c>
      <c r="F389" t="s">
        <v>120</v>
      </c>
      <c r="G389" t="s">
        <v>120</v>
      </c>
      <c r="H389">
        <v>4</v>
      </c>
      <c r="I389">
        <v>3.9</v>
      </c>
      <c r="J389" t="s">
        <v>838</v>
      </c>
      <c r="K389" t="s">
        <v>140</v>
      </c>
      <c r="L389">
        <v>489</v>
      </c>
      <c r="M389">
        <v>2006</v>
      </c>
      <c r="N389">
        <v>2003</v>
      </c>
      <c r="O389" s="2"/>
      <c r="P389" s="2">
        <v>43924</v>
      </c>
      <c r="Q389" t="s">
        <v>119</v>
      </c>
      <c r="R389" t="s">
        <v>119</v>
      </c>
      <c r="S389" t="s">
        <v>125</v>
      </c>
      <c r="T389" t="s">
        <v>119</v>
      </c>
      <c r="U389" t="s">
        <v>119</v>
      </c>
      <c r="V389" t="s">
        <v>119</v>
      </c>
      <c r="W389">
        <v>1</v>
      </c>
      <c r="X389">
        <v>0</v>
      </c>
    </row>
    <row r="390" spans="1:24" x14ac:dyDescent="0.25">
      <c r="A390">
        <v>40019470</v>
      </c>
      <c r="B390" t="s">
        <v>1972</v>
      </c>
      <c r="C390" t="s">
        <v>173</v>
      </c>
      <c r="D390" t="s">
        <v>1899</v>
      </c>
      <c r="E390" t="s">
        <v>119</v>
      </c>
      <c r="F390" t="s">
        <v>120</v>
      </c>
      <c r="G390" t="s">
        <v>120</v>
      </c>
      <c r="H390">
        <v>0</v>
      </c>
      <c r="I390">
        <v>4.29</v>
      </c>
      <c r="J390" t="s">
        <v>1973</v>
      </c>
      <c r="K390" t="s">
        <v>122</v>
      </c>
      <c r="L390">
        <v>400</v>
      </c>
      <c r="M390">
        <v>2018</v>
      </c>
      <c r="N390">
        <v>2009</v>
      </c>
      <c r="O390" s="2"/>
      <c r="P390" s="2">
        <v>43589</v>
      </c>
      <c r="Q390" t="s">
        <v>132</v>
      </c>
      <c r="R390" t="s">
        <v>1974</v>
      </c>
      <c r="S390" t="s">
        <v>132</v>
      </c>
      <c r="T390" t="s">
        <v>119</v>
      </c>
      <c r="U390" t="s">
        <v>119</v>
      </c>
      <c r="V390" t="s">
        <v>119</v>
      </c>
      <c r="W390">
        <v>0</v>
      </c>
      <c r="X390">
        <v>0</v>
      </c>
    </row>
    <row r="391" spans="1:24" x14ac:dyDescent="0.25">
      <c r="A391">
        <v>21413751</v>
      </c>
      <c r="B391" t="s">
        <v>2316</v>
      </c>
      <c r="C391" t="s">
        <v>2317</v>
      </c>
      <c r="D391" t="s">
        <v>2318</v>
      </c>
      <c r="E391" t="s">
        <v>2319</v>
      </c>
      <c r="F391" t="s">
        <v>2320</v>
      </c>
      <c r="G391" t="s">
        <v>2321</v>
      </c>
      <c r="H391">
        <v>5</v>
      </c>
      <c r="I391">
        <v>4.16</v>
      </c>
      <c r="J391" t="s">
        <v>15</v>
      </c>
      <c r="K391" t="s">
        <v>140</v>
      </c>
      <c r="L391">
        <v>200</v>
      </c>
      <c r="M391">
        <v>2015</v>
      </c>
      <c r="N391">
        <v>2015</v>
      </c>
      <c r="O391" s="2">
        <v>43324</v>
      </c>
      <c r="P391" s="2">
        <v>43214</v>
      </c>
      <c r="Q391" t="s">
        <v>2322</v>
      </c>
      <c r="R391" t="s">
        <v>2323</v>
      </c>
      <c r="S391" t="s">
        <v>125</v>
      </c>
      <c r="T391" t="s">
        <v>2324</v>
      </c>
      <c r="U391" t="s">
        <v>119</v>
      </c>
      <c r="V391" t="s">
        <v>119</v>
      </c>
      <c r="W391">
        <v>1</v>
      </c>
      <c r="X391">
        <v>0</v>
      </c>
    </row>
    <row r="392" spans="1:24" x14ac:dyDescent="0.25">
      <c r="A392">
        <v>15712023</v>
      </c>
      <c r="B392" t="s">
        <v>2883</v>
      </c>
      <c r="C392" t="s">
        <v>2884</v>
      </c>
      <c r="D392" t="s">
        <v>2885</v>
      </c>
      <c r="E392" t="s">
        <v>119</v>
      </c>
      <c r="F392" t="s">
        <v>120</v>
      </c>
      <c r="G392" t="s">
        <v>120</v>
      </c>
      <c r="H392">
        <v>4</v>
      </c>
      <c r="I392">
        <v>3.83</v>
      </c>
      <c r="J392" t="s">
        <v>2886</v>
      </c>
      <c r="K392" t="s">
        <v>273</v>
      </c>
      <c r="M392">
        <v>2012</v>
      </c>
      <c r="N392">
        <v>2012</v>
      </c>
      <c r="O392" s="2">
        <v>42319</v>
      </c>
      <c r="P392" s="2">
        <v>42379</v>
      </c>
      <c r="Q392" t="s">
        <v>148</v>
      </c>
      <c r="R392" t="s">
        <v>2887</v>
      </c>
      <c r="S392" t="s">
        <v>125</v>
      </c>
      <c r="T392" t="s">
        <v>2888</v>
      </c>
      <c r="U392" t="s">
        <v>119</v>
      </c>
      <c r="V392" t="s">
        <v>119</v>
      </c>
      <c r="W392">
        <v>1</v>
      </c>
      <c r="X392">
        <v>0</v>
      </c>
    </row>
    <row r="393" spans="1:24" x14ac:dyDescent="0.25">
      <c r="A393">
        <v>48019</v>
      </c>
      <c r="B393" t="s">
        <v>2372</v>
      </c>
      <c r="C393" t="s">
        <v>2373</v>
      </c>
      <c r="D393" t="s">
        <v>2374</v>
      </c>
      <c r="E393" t="s">
        <v>119</v>
      </c>
      <c r="F393" t="s">
        <v>2375</v>
      </c>
      <c r="G393" t="s">
        <v>2376</v>
      </c>
      <c r="H393">
        <v>3</v>
      </c>
      <c r="I393">
        <v>4.08</v>
      </c>
      <c r="J393" t="s">
        <v>381</v>
      </c>
      <c r="K393" t="s">
        <v>140</v>
      </c>
      <c r="L393">
        <v>208</v>
      </c>
      <c r="M393">
        <v>2006</v>
      </c>
      <c r="N393">
        <v>1966</v>
      </c>
      <c r="O393" s="2">
        <v>43062</v>
      </c>
      <c r="P393" s="2">
        <v>42980</v>
      </c>
      <c r="Q393" t="s">
        <v>2377</v>
      </c>
      <c r="R393" t="s">
        <v>2378</v>
      </c>
      <c r="S393" t="s">
        <v>125</v>
      </c>
      <c r="T393" t="s">
        <v>119</v>
      </c>
      <c r="U393" t="s">
        <v>119</v>
      </c>
      <c r="V393" t="s">
        <v>119</v>
      </c>
      <c r="W393">
        <v>1</v>
      </c>
      <c r="X393">
        <v>0</v>
      </c>
    </row>
    <row r="394" spans="1:24" x14ac:dyDescent="0.25">
      <c r="A394">
        <v>9555</v>
      </c>
      <c r="B394" t="s">
        <v>2985</v>
      </c>
      <c r="C394" t="s">
        <v>915</v>
      </c>
      <c r="D394" t="s">
        <v>916</v>
      </c>
      <c r="E394" t="s">
        <v>2986</v>
      </c>
      <c r="F394" t="s">
        <v>120</v>
      </c>
      <c r="G394" t="s">
        <v>120</v>
      </c>
      <c r="H394">
        <v>4</v>
      </c>
      <c r="I394">
        <v>3.85</v>
      </c>
      <c r="J394" t="s">
        <v>436</v>
      </c>
      <c r="K394" t="s">
        <v>140</v>
      </c>
      <c r="L394">
        <v>327</v>
      </c>
      <c r="M394">
        <v>1994</v>
      </c>
      <c r="N394">
        <v>1993</v>
      </c>
      <c r="O394" s="2">
        <v>41163</v>
      </c>
      <c r="P394" s="2">
        <v>41163</v>
      </c>
      <c r="Q394" t="s">
        <v>119</v>
      </c>
      <c r="R394" t="s">
        <v>119</v>
      </c>
      <c r="S394" t="s">
        <v>125</v>
      </c>
      <c r="T394" t="s">
        <v>119</v>
      </c>
      <c r="U394" t="s">
        <v>119</v>
      </c>
      <c r="V394" t="s">
        <v>119</v>
      </c>
      <c r="W394">
        <v>1</v>
      </c>
      <c r="X394">
        <v>0</v>
      </c>
    </row>
    <row r="395" spans="1:24" x14ac:dyDescent="0.25">
      <c r="A395">
        <v>25827122</v>
      </c>
      <c r="B395" t="s">
        <v>2695</v>
      </c>
      <c r="C395" t="s">
        <v>2696</v>
      </c>
      <c r="D395" t="s">
        <v>2697</v>
      </c>
      <c r="E395" t="s">
        <v>119</v>
      </c>
      <c r="F395" t="s">
        <v>120</v>
      </c>
      <c r="G395" t="s">
        <v>120</v>
      </c>
      <c r="H395">
        <v>4</v>
      </c>
      <c r="I395">
        <v>4.03</v>
      </c>
      <c r="J395" t="s">
        <v>119</v>
      </c>
      <c r="K395" t="s">
        <v>122</v>
      </c>
      <c r="L395">
        <v>302</v>
      </c>
      <c r="M395">
        <v>2015</v>
      </c>
      <c r="N395">
        <v>2015</v>
      </c>
      <c r="O395" s="2">
        <v>42605</v>
      </c>
      <c r="P395" s="2">
        <v>42604</v>
      </c>
      <c r="Q395" t="s">
        <v>119</v>
      </c>
      <c r="R395" t="s">
        <v>119</v>
      </c>
      <c r="S395" t="s">
        <v>125</v>
      </c>
      <c r="T395" t="s">
        <v>119</v>
      </c>
      <c r="U395" t="s">
        <v>119</v>
      </c>
      <c r="V395" t="s">
        <v>119</v>
      </c>
      <c r="W395">
        <v>1</v>
      </c>
      <c r="X395">
        <v>0</v>
      </c>
    </row>
    <row r="396" spans="1:24" x14ac:dyDescent="0.25">
      <c r="A396">
        <v>16043519</v>
      </c>
      <c r="B396" t="s">
        <v>1036</v>
      </c>
      <c r="C396" t="s">
        <v>1037</v>
      </c>
      <c r="D396" t="s">
        <v>1038</v>
      </c>
      <c r="E396" t="s">
        <v>119</v>
      </c>
      <c r="F396" t="s">
        <v>1039</v>
      </c>
      <c r="G396" t="s">
        <v>1040</v>
      </c>
      <c r="H396">
        <v>0</v>
      </c>
      <c r="I396">
        <v>3.63</v>
      </c>
      <c r="J396" t="s">
        <v>1041</v>
      </c>
      <c r="K396" t="s">
        <v>147</v>
      </c>
      <c r="L396">
        <v>320</v>
      </c>
      <c r="M396">
        <v>2013</v>
      </c>
      <c r="N396">
        <v>2013</v>
      </c>
      <c r="O396" s="2"/>
      <c r="P396" s="2">
        <v>44276</v>
      </c>
      <c r="Q396" t="s">
        <v>132</v>
      </c>
      <c r="R396" t="s">
        <v>1042</v>
      </c>
      <c r="S396" t="s">
        <v>132</v>
      </c>
      <c r="T396" t="s">
        <v>119</v>
      </c>
      <c r="U396" t="s">
        <v>119</v>
      </c>
      <c r="V396" t="s">
        <v>119</v>
      </c>
      <c r="W396">
        <v>0</v>
      </c>
      <c r="X396">
        <v>0</v>
      </c>
    </row>
    <row r="397" spans="1:24" x14ac:dyDescent="0.25">
      <c r="A397">
        <v>57985780</v>
      </c>
      <c r="B397" t="s">
        <v>922</v>
      </c>
      <c r="C397" t="s">
        <v>923</v>
      </c>
      <c r="D397" t="s">
        <v>924</v>
      </c>
      <c r="E397" t="s">
        <v>925</v>
      </c>
      <c r="F397" t="s">
        <v>120</v>
      </c>
      <c r="G397" t="s">
        <v>120</v>
      </c>
      <c r="H397">
        <v>0</v>
      </c>
      <c r="I397">
        <v>3.98</v>
      </c>
      <c r="J397" t="s">
        <v>119</v>
      </c>
      <c r="K397" t="s">
        <v>122</v>
      </c>
      <c r="M397">
        <v>2021</v>
      </c>
      <c r="O397" s="2"/>
      <c r="P397" s="2">
        <v>44427</v>
      </c>
      <c r="Q397" t="s">
        <v>132</v>
      </c>
      <c r="R397" t="s">
        <v>926</v>
      </c>
      <c r="S397" t="s">
        <v>132</v>
      </c>
      <c r="T397" t="s">
        <v>119</v>
      </c>
      <c r="U397" t="s">
        <v>119</v>
      </c>
      <c r="V397" t="s">
        <v>119</v>
      </c>
      <c r="W397">
        <v>0</v>
      </c>
      <c r="X397">
        <v>0</v>
      </c>
    </row>
    <row r="398" spans="1:24" x14ac:dyDescent="0.25">
      <c r="A398">
        <v>17660462</v>
      </c>
      <c r="B398" t="s">
        <v>1177</v>
      </c>
      <c r="C398" t="s">
        <v>1178</v>
      </c>
      <c r="D398" t="s">
        <v>1179</v>
      </c>
      <c r="E398" t="s">
        <v>119</v>
      </c>
      <c r="F398" t="s">
        <v>1180</v>
      </c>
      <c r="G398" t="s">
        <v>1181</v>
      </c>
      <c r="H398">
        <v>0</v>
      </c>
      <c r="I398">
        <v>4.1399999999999997</v>
      </c>
      <c r="J398" t="s">
        <v>300</v>
      </c>
      <c r="K398" t="s">
        <v>147</v>
      </c>
      <c r="L398">
        <v>384</v>
      </c>
      <c r="M398">
        <v>2013</v>
      </c>
      <c r="N398">
        <v>2013</v>
      </c>
      <c r="O398" s="2"/>
      <c r="P398" s="2">
        <v>44182</v>
      </c>
      <c r="Q398" t="s">
        <v>132</v>
      </c>
      <c r="R398" t="s">
        <v>1182</v>
      </c>
      <c r="S398" t="s">
        <v>132</v>
      </c>
      <c r="T398" t="s">
        <v>119</v>
      </c>
      <c r="U398" t="s">
        <v>119</v>
      </c>
      <c r="V398" t="s">
        <v>119</v>
      </c>
      <c r="W398">
        <v>0</v>
      </c>
      <c r="X398">
        <v>0</v>
      </c>
    </row>
    <row r="399" spans="1:24" x14ac:dyDescent="0.25">
      <c r="A399">
        <v>5546</v>
      </c>
      <c r="B399" t="s">
        <v>1383</v>
      </c>
      <c r="C399" t="s">
        <v>1375</v>
      </c>
      <c r="D399" t="s">
        <v>1376</v>
      </c>
      <c r="E399" t="s">
        <v>1384</v>
      </c>
      <c r="F399" t="s">
        <v>1385</v>
      </c>
      <c r="G399" t="s">
        <v>1386</v>
      </c>
      <c r="H399">
        <v>5</v>
      </c>
      <c r="I399">
        <v>4.6100000000000003</v>
      </c>
      <c r="J399" t="s">
        <v>1387</v>
      </c>
      <c r="K399" t="s">
        <v>147</v>
      </c>
      <c r="L399">
        <v>1552</v>
      </c>
      <c r="M399">
        <v>2005</v>
      </c>
      <c r="N399">
        <v>1964</v>
      </c>
      <c r="O399" s="2"/>
      <c r="P399" s="2">
        <v>44069</v>
      </c>
      <c r="Q399" t="s">
        <v>119</v>
      </c>
      <c r="R399" t="s">
        <v>119</v>
      </c>
      <c r="S399" t="s">
        <v>125</v>
      </c>
      <c r="T399" t="s">
        <v>119</v>
      </c>
      <c r="U399" t="s">
        <v>119</v>
      </c>
      <c r="V399" t="s">
        <v>119</v>
      </c>
      <c r="W399">
        <v>1</v>
      </c>
      <c r="X399">
        <v>0</v>
      </c>
    </row>
    <row r="400" spans="1:24" x14ac:dyDescent="0.25">
      <c r="A400">
        <v>39088545</v>
      </c>
      <c r="B400" t="s">
        <v>2055</v>
      </c>
      <c r="C400" t="s">
        <v>2056</v>
      </c>
      <c r="D400" t="s">
        <v>2057</v>
      </c>
      <c r="E400" t="s">
        <v>119</v>
      </c>
      <c r="F400" t="s">
        <v>2058</v>
      </c>
      <c r="G400" t="s">
        <v>2059</v>
      </c>
      <c r="H400">
        <v>0</v>
      </c>
      <c r="I400">
        <v>4.17</v>
      </c>
      <c r="J400" t="s">
        <v>300</v>
      </c>
      <c r="K400" t="s">
        <v>147</v>
      </c>
      <c r="L400">
        <v>320</v>
      </c>
      <c r="M400">
        <v>2018</v>
      </c>
      <c r="N400">
        <v>2018</v>
      </c>
      <c r="O400" s="2"/>
      <c r="P400" s="2">
        <v>43514</v>
      </c>
      <c r="Q400" t="s">
        <v>132</v>
      </c>
      <c r="R400" t="s">
        <v>2060</v>
      </c>
      <c r="S400" t="s">
        <v>132</v>
      </c>
      <c r="T400" t="s">
        <v>119</v>
      </c>
      <c r="U400" t="s">
        <v>119</v>
      </c>
      <c r="V400" t="s">
        <v>119</v>
      </c>
      <c r="W400">
        <v>0</v>
      </c>
      <c r="X400">
        <v>0</v>
      </c>
    </row>
    <row r="401" spans="1:24" x14ac:dyDescent="0.25">
      <c r="A401">
        <v>4656</v>
      </c>
      <c r="B401" t="s">
        <v>459</v>
      </c>
      <c r="C401" t="s">
        <v>285</v>
      </c>
      <c r="D401" t="s">
        <v>286</v>
      </c>
      <c r="E401" t="s">
        <v>119</v>
      </c>
      <c r="F401" t="s">
        <v>460</v>
      </c>
      <c r="G401" t="s">
        <v>461</v>
      </c>
      <c r="H401">
        <v>4</v>
      </c>
      <c r="I401">
        <v>3.32</v>
      </c>
      <c r="J401" t="s">
        <v>462</v>
      </c>
      <c r="K401" t="s">
        <v>140</v>
      </c>
      <c r="L401">
        <v>368</v>
      </c>
      <c r="M401">
        <v>2003</v>
      </c>
      <c r="N401">
        <v>2001</v>
      </c>
      <c r="O401" s="2">
        <v>44738</v>
      </c>
      <c r="P401" s="2">
        <v>44724</v>
      </c>
      <c r="Q401" t="s">
        <v>119</v>
      </c>
      <c r="R401" t="s">
        <v>119</v>
      </c>
      <c r="S401" t="s">
        <v>125</v>
      </c>
      <c r="T401" t="s">
        <v>463</v>
      </c>
      <c r="U401" t="s">
        <v>119</v>
      </c>
      <c r="V401" t="s">
        <v>119</v>
      </c>
      <c r="W401">
        <v>1</v>
      </c>
      <c r="X401">
        <v>0</v>
      </c>
    </row>
    <row r="402" spans="1:24" x14ac:dyDescent="0.25">
      <c r="A402">
        <v>17978489</v>
      </c>
      <c r="B402" t="s">
        <v>2956</v>
      </c>
      <c r="C402" t="s">
        <v>2957</v>
      </c>
      <c r="D402" t="s">
        <v>2958</v>
      </c>
      <c r="E402" t="s">
        <v>119</v>
      </c>
      <c r="F402" t="s">
        <v>2959</v>
      </c>
      <c r="G402" t="s">
        <v>2960</v>
      </c>
      <c r="H402">
        <v>0</v>
      </c>
      <c r="I402">
        <v>4.09</v>
      </c>
      <c r="J402" t="s">
        <v>2961</v>
      </c>
      <c r="K402" t="s">
        <v>147</v>
      </c>
      <c r="L402">
        <v>377</v>
      </c>
      <c r="M402">
        <v>2014</v>
      </c>
      <c r="N402">
        <v>2014</v>
      </c>
      <c r="O402" s="2"/>
      <c r="P402" s="2">
        <v>42165</v>
      </c>
      <c r="Q402" t="s">
        <v>132</v>
      </c>
      <c r="R402" t="s">
        <v>2962</v>
      </c>
      <c r="S402" t="s">
        <v>132</v>
      </c>
      <c r="T402" t="s">
        <v>119</v>
      </c>
      <c r="U402" t="s">
        <v>119</v>
      </c>
      <c r="V402" t="s">
        <v>119</v>
      </c>
      <c r="W402">
        <v>0</v>
      </c>
      <c r="X402">
        <v>0</v>
      </c>
    </row>
    <row r="403" spans="1:24" x14ac:dyDescent="0.25">
      <c r="A403">
        <v>18813645</v>
      </c>
      <c r="B403" t="s">
        <v>1740</v>
      </c>
      <c r="C403" t="s">
        <v>1741</v>
      </c>
      <c r="D403" t="s">
        <v>1742</v>
      </c>
      <c r="E403" t="s">
        <v>119</v>
      </c>
      <c r="F403" t="s">
        <v>1743</v>
      </c>
      <c r="G403" t="s">
        <v>1744</v>
      </c>
      <c r="H403">
        <v>0</v>
      </c>
      <c r="I403">
        <v>4.13</v>
      </c>
      <c r="J403" t="s">
        <v>317</v>
      </c>
      <c r="K403" t="s">
        <v>147</v>
      </c>
      <c r="L403">
        <v>243</v>
      </c>
      <c r="M403">
        <v>2015</v>
      </c>
      <c r="N403">
        <v>2014</v>
      </c>
      <c r="O403" s="2"/>
      <c r="P403" s="2">
        <v>43804</v>
      </c>
      <c r="Q403" t="s">
        <v>132</v>
      </c>
      <c r="R403" t="s">
        <v>1745</v>
      </c>
      <c r="S403" t="s">
        <v>132</v>
      </c>
      <c r="T403" t="s">
        <v>119</v>
      </c>
      <c r="U403" t="s">
        <v>119</v>
      </c>
      <c r="V403" t="s">
        <v>119</v>
      </c>
      <c r="W403">
        <v>0</v>
      </c>
      <c r="X403">
        <v>0</v>
      </c>
    </row>
    <row r="404" spans="1:24" x14ac:dyDescent="0.25">
      <c r="A404">
        <v>7015403</v>
      </c>
      <c r="B404" t="s">
        <v>1711</v>
      </c>
      <c r="C404" t="s">
        <v>205</v>
      </c>
      <c r="D404" t="s">
        <v>206</v>
      </c>
      <c r="E404" t="s">
        <v>119</v>
      </c>
      <c r="F404" t="s">
        <v>1712</v>
      </c>
      <c r="G404" t="s">
        <v>1713</v>
      </c>
      <c r="H404">
        <v>0</v>
      </c>
      <c r="I404">
        <v>4.25</v>
      </c>
      <c r="J404" t="s">
        <v>1714</v>
      </c>
      <c r="K404" t="s">
        <v>140</v>
      </c>
      <c r="L404">
        <v>137</v>
      </c>
      <c r="M404">
        <v>2010</v>
      </c>
      <c r="N404">
        <v>2010</v>
      </c>
      <c r="O404" s="2"/>
      <c r="P404" s="2">
        <v>43838</v>
      </c>
      <c r="Q404" t="s">
        <v>132</v>
      </c>
      <c r="R404" t="s">
        <v>1715</v>
      </c>
      <c r="S404" t="s">
        <v>132</v>
      </c>
      <c r="T404" t="s">
        <v>119</v>
      </c>
      <c r="U404" t="s">
        <v>119</v>
      </c>
      <c r="V404" t="s">
        <v>119</v>
      </c>
      <c r="W404">
        <v>0</v>
      </c>
      <c r="X404">
        <v>0</v>
      </c>
    </row>
    <row r="405" spans="1:24" x14ac:dyDescent="0.25">
      <c r="A405">
        <v>261830</v>
      </c>
      <c r="B405" t="s">
        <v>531</v>
      </c>
      <c r="C405" t="s">
        <v>532</v>
      </c>
      <c r="D405" t="s">
        <v>533</v>
      </c>
      <c r="E405" t="s">
        <v>534</v>
      </c>
      <c r="F405" t="s">
        <v>535</v>
      </c>
      <c r="G405" t="s">
        <v>536</v>
      </c>
      <c r="H405">
        <v>0</v>
      </c>
      <c r="I405">
        <v>4.1500000000000004</v>
      </c>
      <c r="J405" t="s">
        <v>537</v>
      </c>
      <c r="K405" t="s">
        <v>140</v>
      </c>
      <c r="L405">
        <v>434</v>
      </c>
      <c r="M405">
        <v>1994</v>
      </c>
      <c r="N405">
        <v>1993</v>
      </c>
      <c r="O405" s="2"/>
      <c r="P405" s="2">
        <v>44658</v>
      </c>
      <c r="Q405" t="s">
        <v>132</v>
      </c>
      <c r="R405" t="s">
        <v>538</v>
      </c>
      <c r="S405" t="s">
        <v>132</v>
      </c>
      <c r="T405" t="s">
        <v>119</v>
      </c>
      <c r="U405" t="s">
        <v>119</v>
      </c>
      <c r="V405" t="s">
        <v>119</v>
      </c>
      <c r="W405">
        <v>0</v>
      </c>
      <c r="X405">
        <v>0</v>
      </c>
    </row>
    <row r="406" spans="1:24" x14ac:dyDescent="0.25">
      <c r="A406">
        <v>1078</v>
      </c>
      <c r="B406" t="s">
        <v>1342</v>
      </c>
      <c r="C406" t="s">
        <v>1343</v>
      </c>
      <c r="D406" t="s">
        <v>1344</v>
      </c>
      <c r="E406" t="s">
        <v>119</v>
      </c>
      <c r="F406" t="s">
        <v>1345</v>
      </c>
      <c r="G406" t="s">
        <v>1346</v>
      </c>
      <c r="H406">
        <v>0</v>
      </c>
      <c r="I406">
        <v>4</v>
      </c>
      <c r="J406" t="s">
        <v>1347</v>
      </c>
      <c r="K406" t="s">
        <v>140</v>
      </c>
      <c r="L406">
        <v>418</v>
      </c>
      <c r="M406">
        <v>2009</v>
      </c>
      <c r="N406">
        <v>1931</v>
      </c>
      <c r="O406" s="2"/>
      <c r="P406" s="2">
        <v>44070</v>
      </c>
      <c r="Q406" t="s">
        <v>132</v>
      </c>
      <c r="R406" t="s">
        <v>1348</v>
      </c>
      <c r="S406" t="s">
        <v>132</v>
      </c>
      <c r="T406" t="s">
        <v>119</v>
      </c>
      <c r="U406" t="s">
        <v>119</v>
      </c>
      <c r="V406" t="s">
        <v>119</v>
      </c>
      <c r="W406">
        <v>0</v>
      </c>
      <c r="X406">
        <v>0</v>
      </c>
    </row>
    <row r="407" spans="1:24" x14ac:dyDescent="0.25">
      <c r="A407">
        <v>6746355</v>
      </c>
      <c r="B407" t="s">
        <v>31</v>
      </c>
      <c r="C407" t="s">
        <v>239</v>
      </c>
      <c r="D407" t="s">
        <v>240</v>
      </c>
      <c r="E407" t="s">
        <v>119</v>
      </c>
      <c r="F407" t="s">
        <v>120</v>
      </c>
      <c r="G407" t="s">
        <v>120</v>
      </c>
      <c r="H407">
        <v>5</v>
      </c>
      <c r="I407">
        <v>4.1500000000000004</v>
      </c>
      <c r="J407" t="s">
        <v>241</v>
      </c>
      <c r="K407" t="s">
        <v>122</v>
      </c>
      <c r="L407">
        <v>325</v>
      </c>
      <c r="M407">
        <v>2009</v>
      </c>
      <c r="N407">
        <v>2008</v>
      </c>
      <c r="O407" s="2">
        <v>44924</v>
      </c>
      <c r="P407" s="2">
        <v>44860</v>
      </c>
      <c r="Q407" t="s">
        <v>119</v>
      </c>
      <c r="R407" t="s">
        <v>119</v>
      </c>
      <c r="S407" t="s">
        <v>125</v>
      </c>
      <c r="T407" t="s">
        <v>119</v>
      </c>
      <c r="U407" t="s">
        <v>119</v>
      </c>
      <c r="V407" t="s">
        <v>119</v>
      </c>
      <c r="W407">
        <v>1</v>
      </c>
      <c r="X407">
        <v>0</v>
      </c>
    </row>
    <row r="408" spans="1:24" x14ac:dyDescent="0.25">
      <c r="A408">
        <v>4671</v>
      </c>
      <c r="B408" t="s">
        <v>1655</v>
      </c>
      <c r="C408" t="s">
        <v>1656</v>
      </c>
      <c r="D408" t="s">
        <v>1657</v>
      </c>
      <c r="E408" t="s">
        <v>119</v>
      </c>
      <c r="F408" t="s">
        <v>120</v>
      </c>
      <c r="G408" t="s">
        <v>120</v>
      </c>
      <c r="H408">
        <v>0</v>
      </c>
      <c r="I408">
        <v>3.93</v>
      </c>
      <c r="J408" t="s">
        <v>1005</v>
      </c>
      <c r="K408" t="s">
        <v>140</v>
      </c>
      <c r="L408">
        <v>180</v>
      </c>
      <c r="M408">
        <v>1925</v>
      </c>
      <c r="N408">
        <v>1925</v>
      </c>
      <c r="O408" s="2"/>
      <c r="P408" s="2">
        <v>43914</v>
      </c>
      <c r="Q408" t="s">
        <v>132</v>
      </c>
      <c r="R408" t="s">
        <v>1658</v>
      </c>
      <c r="S408" t="s">
        <v>132</v>
      </c>
      <c r="T408" t="s">
        <v>119</v>
      </c>
      <c r="U408" t="s">
        <v>119</v>
      </c>
      <c r="V408" t="s">
        <v>119</v>
      </c>
      <c r="W408">
        <v>0</v>
      </c>
      <c r="X408">
        <v>0</v>
      </c>
    </row>
    <row r="409" spans="1:24" x14ac:dyDescent="0.25">
      <c r="A409">
        <v>136181</v>
      </c>
      <c r="B409" t="s">
        <v>1235</v>
      </c>
      <c r="C409" t="s">
        <v>1236</v>
      </c>
      <c r="D409" t="s">
        <v>1237</v>
      </c>
      <c r="E409" t="s">
        <v>119</v>
      </c>
      <c r="F409" t="s">
        <v>1238</v>
      </c>
      <c r="G409" t="s">
        <v>1239</v>
      </c>
      <c r="H409">
        <v>0</v>
      </c>
      <c r="I409">
        <v>3.89</v>
      </c>
      <c r="J409" t="s">
        <v>661</v>
      </c>
      <c r="K409" t="s">
        <v>147</v>
      </c>
      <c r="L409">
        <v>232</v>
      </c>
      <c r="M409">
        <v>2007</v>
      </c>
      <c r="N409">
        <v>2007</v>
      </c>
      <c r="O409" s="2"/>
      <c r="P409" s="2">
        <v>44167</v>
      </c>
      <c r="Q409" t="s">
        <v>132</v>
      </c>
      <c r="R409" t="s">
        <v>1240</v>
      </c>
      <c r="S409" t="s">
        <v>132</v>
      </c>
      <c r="T409" t="s">
        <v>119</v>
      </c>
      <c r="U409" t="s">
        <v>119</v>
      </c>
      <c r="V409" t="s">
        <v>119</v>
      </c>
      <c r="W409">
        <v>0</v>
      </c>
      <c r="X409">
        <v>0</v>
      </c>
    </row>
    <row r="410" spans="1:24" x14ac:dyDescent="0.25">
      <c r="A410">
        <v>9484114</v>
      </c>
      <c r="B410" t="s">
        <v>2383</v>
      </c>
      <c r="C410" t="s">
        <v>2339</v>
      </c>
      <c r="D410" t="s">
        <v>2340</v>
      </c>
      <c r="E410" t="s">
        <v>119</v>
      </c>
      <c r="F410" t="s">
        <v>2384</v>
      </c>
      <c r="G410" t="s">
        <v>2385</v>
      </c>
      <c r="H410">
        <v>5</v>
      </c>
      <c r="I410">
        <v>4.1399999999999997</v>
      </c>
      <c r="J410" t="s">
        <v>1330</v>
      </c>
      <c r="K410" t="s">
        <v>273</v>
      </c>
      <c r="L410">
        <v>272</v>
      </c>
      <c r="M410">
        <v>2010</v>
      </c>
      <c r="N410">
        <v>2010</v>
      </c>
      <c r="O410" s="2">
        <v>42323</v>
      </c>
      <c r="P410" s="2">
        <v>42165</v>
      </c>
      <c r="Q410" t="s">
        <v>2386</v>
      </c>
      <c r="R410" t="s">
        <v>2387</v>
      </c>
      <c r="S410" t="s">
        <v>125</v>
      </c>
      <c r="T410" t="s">
        <v>119</v>
      </c>
      <c r="U410" t="s">
        <v>119</v>
      </c>
      <c r="V410" t="s">
        <v>119</v>
      </c>
      <c r="W410">
        <v>1</v>
      </c>
      <c r="X410">
        <v>0</v>
      </c>
    </row>
    <row r="411" spans="1:24" x14ac:dyDescent="0.25">
      <c r="A411">
        <v>6398634</v>
      </c>
      <c r="B411" t="s">
        <v>1892</v>
      </c>
      <c r="C411" t="s">
        <v>1893</v>
      </c>
      <c r="D411" t="s">
        <v>1894</v>
      </c>
      <c r="E411" t="s">
        <v>119</v>
      </c>
      <c r="F411" t="s">
        <v>1895</v>
      </c>
      <c r="G411" t="s">
        <v>1896</v>
      </c>
      <c r="H411">
        <v>0</v>
      </c>
      <c r="I411">
        <v>3.64</v>
      </c>
      <c r="J411" t="s">
        <v>317</v>
      </c>
      <c r="K411" t="s">
        <v>147</v>
      </c>
      <c r="L411">
        <v>301</v>
      </c>
      <c r="M411">
        <v>2009</v>
      </c>
      <c r="N411">
        <v>2009</v>
      </c>
      <c r="O411" s="2"/>
      <c r="P411" s="2">
        <v>43707</v>
      </c>
      <c r="Q411" t="s">
        <v>132</v>
      </c>
      <c r="R411" t="s">
        <v>1897</v>
      </c>
      <c r="S411" t="s">
        <v>132</v>
      </c>
      <c r="T411" t="s">
        <v>119</v>
      </c>
      <c r="U411" t="s">
        <v>119</v>
      </c>
      <c r="V411" t="s">
        <v>119</v>
      </c>
      <c r="W411">
        <v>0</v>
      </c>
      <c r="X411">
        <v>0</v>
      </c>
    </row>
    <row r="412" spans="1:24" x14ac:dyDescent="0.25">
      <c r="A412">
        <v>386162</v>
      </c>
      <c r="B412" t="s">
        <v>1149</v>
      </c>
      <c r="C412" t="s">
        <v>1150</v>
      </c>
      <c r="D412" t="s">
        <v>1151</v>
      </c>
      <c r="E412" t="s">
        <v>119</v>
      </c>
      <c r="F412" t="s">
        <v>120</v>
      </c>
      <c r="G412" t="s">
        <v>120</v>
      </c>
      <c r="H412">
        <v>0</v>
      </c>
      <c r="I412">
        <v>4.2300000000000004</v>
      </c>
      <c r="J412" t="s">
        <v>1152</v>
      </c>
      <c r="K412" t="s">
        <v>140</v>
      </c>
      <c r="L412">
        <v>193</v>
      </c>
      <c r="M412">
        <v>2007</v>
      </c>
      <c r="N412">
        <v>1979</v>
      </c>
      <c r="O412" s="2"/>
      <c r="P412" s="2">
        <v>44197</v>
      </c>
      <c r="Q412" t="s">
        <v>132</v>
      </c>
      <c r="R412" t="s">
        <v>1153</v>
      </c>
      <c r="S412" t="s">
        <v>132</v>
      </c>
      <c r="T412" t="s">
        <v>119</v>
      </c>
      <c r="U412" t="s">
        <v>119</v>
      </c>
      <c r="V412" t="s">
        <v>119</v>
      </c>
      <c r="W412">
        <v>0</v>
      </c>
      <c r="X412">
        <v>0</v>
      </c>
    </row>
    <row r="413" spans="1:24" x14ac:dyDescent="0.25">
      <c r="A413">
        <v>38390751</v>
      </c>
      <c r="B413" t="s">
        <v>2244</v>
      </c>
      <c r="C413" t="s">
        <v>1028</v>
      </c>
      <c r="D413" t="s">
        <v>1029</v>
      </c>
      <c r="E413" t="s">
        <v>119</v>
      </c>
      <c r="F413" t="s">
        <v>2245</v>
      </c>
      <c r="G413" t="s">
        <v>2246</v>
      </c>
      <c r="H413">
        <v>0</v>
      </c>
      <c r="I413">
        <v>4.17</v>
      </c>
      <c r="J413" t="s">
        <v>388</v>
      </c>
      <c r="K413" t="s">
        <v>147</v>
      </c>
      <c r="L413">
        <v>251</v>
      </c>
      <c r="M413">
        <v>2019</v>
      </c>
      <c r="N413">
        <v>2019</v>
      </c>
      <c r="O413" s="2"/>
      <c r="P413" s="2">
        <v>43389</v>
      </c>
      <c r="Q413" t="s">
        <v>132</v>
      </c>
      <c r="R413" t="s">
        <v>2247</v>
      </c>
      <c r="S413" t="s">
        <v>132</v>
      </c>
      <c r="T413" t="s">
        <v>119</v>
      </c>
      <c r="U413" t="s">
        <v>119</v>
      </c>
      <c r="V413" t="s">
        <v>119</v>
      </c>
      <c r="W413">
        <v>0</v>
      </c>
      <c r="X413">
        <v>0</v>
      </c>
    </row>
    <row r="414" spans="1:24" x14ac:dyDescent="0.25">
      <c r="A414">
        <v>8701960</v>
      </c>
      <c r="B414" t="s">
        <v>900</v>
      </c>
      <c r="C414" t="s">
        <v>901</v>
      </c>
      <c r="D414" t="s">
        <v>902</v>
      </c>
      <c r="E414" t="s">
        <v>119</v>
      </c>
      <c r="F414" t="s">
        <v>903</v>
      </c>
      <c r="G414" t="s">
        <v>904</v>
      </c>
      <c r="H414">
        <v>4</v>
      </c>
      <c r="I414">
        <v>4.0199999999999996</v>
      </c>
      <c r="J414" t="s">
        <v>905</v>
      </c>
      <c r="K414" t="s">
        <v>147</v>
      </c>
      <c r="L414">
        <v>527</v>
      </c>
      <c r="M414">
        <v>2011</v>
      </c>
      <c r="N414">
        <v>2011</v>
      </c>
      <c r="O414" s="2">
        <v>44434</v>
      </c>
      <c r="P414" s="2">
        <v>43949</v>
      </c>
      <c r="Q414" t="s">
        <v>119</v>
      </c>
      <c r="R414" t="s">
        <v>119</v>
      </c>
      <c r="S414" t="s">
        <v>125</v>
      </c>
      <c r="T414" t="s">
        <v>119</v>
      </c>
      <c r="U414" t="s">
        <v>119</v>
      </c>
      <c r="V414" t="s">
        <v>119</v>
      </c>
      <c r="W414">
        <v>1</v>
      </c>
      <c r="X414">
        <v>0</v>
      </c>
    </row>
    <row r="415" spans="1:24" x14ac:dyDescent="0.25">
      <c r="A415">
        <v>394241</v>
      </c>
      <c r="B415" t="s">
        <v>1644</v>
      </c>
      <c r="C415" t="s">
        <v>1645</v>
      </c>
      <c r="D415" t="s">
        <v>1646</v>
      </c>
      <c r="E415" t="s">
        <v>119</v>
      </c>
      <c r="F415" t="s">
        <v>1647</v>
      </c>
      <c r="G415" t="s">
        <v>1648</v>
      </c>
      <c r="H415">
        <v>4</v>
      </c>
      <c r="I415">
        <v>3.59</v>
      </c>
      <c r="J415" t="s">
        <v>1120</v>
      </c>
      <c r="K415" t="s">
        <v>147</v>
      </c>
      <c r="L415">
        <v>418</v>
      </c>
      <c r="M415">
        <v>2004</v>
      </c>
      <c r="N415">
        <v>2003</v>
      </c>
      <c r="O415" s="2"/>
      <c r="P415" s="2">
        <v>43916</v>
      </c>
      <c r="Q415" t="s">
        <v>609</v>
      </c>
      <c r="R415" t="s">
        <v>1649</v>
      </c>
      <c r="S415" t="s">
        <v>125</v>
      </c>
      <c r="T415" t="s">
        <v>119</v>
      </c>
      <c r="U415" t="s">
        <v>119</v>
      </c>
      <c r="V415" t="s">
        <v>119</v>
      </c>
      <c r="W415">
        <v>1</v>
      </c>
      <c r="X415">
        <v>0</v>
      </c>
    </row>
    <row r="416" spans="1:24" x14ac:dyDescent="0.25">
      <c r="A416">
        <v>2615</v>
      </c>
      <c r="B416" t="s">
        <v>1465</v>
      </c>
      <c r="C416" t="s">
        <v>1466</v>
      </c>
      <c r="D416" t="s">
        <v>1467</v>
      </c>
      <c r="E416" t="s">
        <v>1468</v>
      </c>
      <c r="F416" t="s">
        <v>1469</v>
      </c>
      <c r="G416" t="s">
        <v>1470</v>
      </c>
      <c r="H416">
        <v>0</v>
      </c>
      <c r="I416">
        <v>4.04</v>
      </c>
      <c r="J416" t="s">
        <v>1471</v>
      </c>
      <c r="K416" t="s">
        <v>140</v>
      </c>
      <c r="L416">
        <v>286</v>
      </c>
      <c r="M416">
        <v>2003</v>
      </c>
      <c r="N416">
        <v>1997</v>
      </c>
      <c r="O416" s="2"/>
      <c r="P416" s="2">
        <v>42875</v>
      </c>
      <c r="Q416" t="s">
        <v>1472</v>
      </c>
      <c r="R416" t="s">
        <v>1473</v>
      </c>
      <c r="S416" t="s">
        <v>265</v>
      </c>
      <c r="T416" t="s">
        <v>119</v>
      </c>
      <c r="U416" t="s">
        <v>119</v>
      </c>
      <c r="V416" t="s">
        <v>119</v>
      </c>
      <c r="W416">
        <v>1</v>
      </c>
      <c r="X416">
        <v>0</v>
      </c>
    </row>
    <row r="417" spans="1:24" x14ac:dyDescent="0.25">
      <c r="A417">
        <v>50043755</v>
      </c>
      <c r="B417" t="s">
        <v>967</v>
      </c>
      <c r="C417" t="s">
        <v>968</v>
      </c>
      <c r="D417" t="s">
        <v>969</v>
      </c>
      <c r="E417" t="s">
        <v>970</v>
      </c>
      <c r="F417" t="s">
        <v>971</v>
      </c>
      <c r="G417" t="s">
        <v>972</v>
      </c>
      <c r="H417">
        <v>0</v>
      </c>
      <c r="I417">
        <v>4.46</v>
      </c>
      <c r="J417" t="s">
        <v>258</v>
      </c>
      <c r="K417" t="s">
        <v>140</v>
      </c>
      <c r="L417">
        <v>304</v>
      </c>
      <c r="M417">
        <v>2020</v>
      </c>
      <c r="O417" s="2"/>
      <c r="P417" s="2">
        <v>44379</v>
      </c>
      <c r="Q417" t="s">
        <v>132</v>
      </c>
      <c r="R417" t="s">
        <v>973</v>
      </c>
      <c r="S417" t="s">
        <v>132</v>
      </c>
      <c r="T417" t="s">
        <v>119</v>
      </c>
      <c r="U417" t="s">
        <v>119</v>
      </c>
      <c r="V417" t="s">
        <v>119</v>
      </c>
      <c r="W417">
        <v>0</v>
      </c>
      <c r="X417">
        <v>0</v>
      </c>
    </row>
    <row r="418" spans="1:24" x14ac:dyDescent="0.25">
      <c r="A418">
        <v>15817111</v>
      </c>
      <c r="B418" t="s">
        <v>1015</v>
      </c>
      <c r="C418" t="s">
        <v>1016</v>
      </c>
      <c r="D418" t="s">
        <v>1017</v>
      </c>
      <c r="E418" t="s">
        <v>119</v>
      </c>
      <c r="F418" t="s">
        <v>1018</v>
      </c>
      <c r="G418" t="s">
        <v>1019</v>
      </c>
      <c r="H418">
        <v>0</v>
      </c>
      <c r="I418">
        <v>4.74</v>
      </c>
      <c r="J418" t="s">
        <v>1020</v>
      </c>
      <c r="K418" t="s">
        <v>147</v>
      </c>
      <c r="L418">
        <v>264</v>
      </c>
      <c r="M418">
        <v>2016</v>
      </c>
      <c r="N418">
        <v>2016</v>
      </c>
      <c r="O418" s="2"/>
      <c r="P418" s="2">
        <v>44286</v>
      </c>
      <c r="Q418" t="s">
        <v>132</v>
      </c>
      <c r="R418" t="s">
        <v>1021</v>
      </c>
      <c r="S418" t="s">
        <v>132</v>
      </c>
      <c r="T418" t="s">
        <v>119</v>
      </c>
      <c r="U418" t="s">
        <v>119</v>
      </c>
      <c r="V418" t="s">
        <v>119</v>
      </c>
      <c r="W418">
        <v>0</v>
      </c>
      <c r="X418">
        <v>0</v>
      </c>
    </row>
    <row r="419" spans="1:24" x14ac:dyDescent="0.25">
      <c r="A419">
        <v>289448</v>
      </c>
      <c r="B419" t="s">
        <v>1223</v>
      </c>
      <c r="C419" t="s">
        <v>1210</v>
      </c>
      <c r="D419" t="s">
        <v>1211</v>
      </c>
      <c r="E419" t="s">
        <v>1224</v>
      </c>
      <c r="F419" t="s">
        <v>1225</v>
      </c>
      <c r="G419" t="s">
        <v>1226</v>
      </c>
      <c r="H419">
        <v>5</v>
      </c>
      <c r="I419">
        <v>4.2300000000000004</v>
      </c>
      <c r="J419" t="s">
        <v>163</v>
      </c>
      <c r="K419" t="s">
        <v>147</v>
      </c>
      <c r="L419">
        <v>272</v>
      </c>
      <c r="M419">
        <v>2007</v>
      </c>
      <c r="N419">
        <v>2007</v>
      </c>
      <c r="O419" s="2">
        <v>44165</v>
      </c>
      <c r="P419" s="2">
        <v>44134</v>
      </c>
      <c r="Q419" t="s">
        <v>1227</v>
      </c>
      <c r="R419" t="s">
        <v>1228</v>
      </c>
      <c r="S419" t="s">
        <v>125</v>
      </c>
      <c r="T419" t="s">
        <v>1229</v>
      </c>
      <c r="U419" t="s">
        <v>119</v>
      </c>
      <c r="V419" t="s">
        <v>119</v>
      </c>
      <c r="W419">
        <v>1</v>
      </c>
      <c r="X419">
        <v>0</v>
      </c>
    </row>
    <row r="420" spans="1:24" x14ac:dyDescent="0.25">
      <c r="A420">
        <v>44785769</v>
      </c>
      <c r="B420" t="s">
        <v>223</v>
      </c>
      <c r="C420" t="s">
        <v>90</v>
      </c>
      <c r="D420" t="s">
        <v>224</v>
      </c>
      <c r="E420" t="s">
        <v>119</v>
      </c>
      <c r="F420" t="s">
        <v>120</v>
      </c>
      <c r="G420" t="s">
        <v>120</v>
      </c>
      <c r="H420">
        <v>0</v>
      </c>
      <c r="I420">
        <v>3.88</v>
      </c>
      <c r="J420" t="s">
        <v>225</v>
      </c>
      <c r="K420" t="s">
        <v>122</v>
      </c>
      <c r="L420">
        <v>269</v>
      </c>
      <c r="M420">
        <v>2019</v>
      </c>
      <c r="N420">
        <v>2019</v>
      </c>
      <c r="O420" s="2"/>
      <c r="P420" s="2">
        <v>43828</v>
      </c>
      <c r="Q420" t="s">
        <v>226</v>
      </c>
      <c r="R420" t="s">
        <v>227</v>
      </c>
      <c r="S420" t="s">
        <v>132</v>
      </c>
      <c r="T420" t="s">
        <v>119</v>
      </c>
      <c r="U420" t="s">
        <v>119</v>
      </c>
      <c r="V420" t="s">
        <v>119</v>
      </c>
      <c r="W420">
        <v>1</v>
      </c>
      <c r="X420">
        <v>1</v>
      </c>
    </row>
    <row r="421" spans="1:24" x14ac:dyDescent="0.25">
      <c r="A421">
        <v>13356649</v>
      </c>
      <c r="B421" t="s">
        <v>1851</v>
      </c>
      <c r="C421" t="s">
        <v>928</v>
      </c>
      <c r="D421" t="s">
        <v>929</v>
      </c>
      <c r="E421" t="s">
        <v>119</v>
      </c>
      <c r="F421" t="s">
        <v>1852</v>
      </c>
      <c r="G421" t="s">
        <v>1853</v>
      </c>
      <c r="H421">
        <v>4</v>
      </c>
      <c r="I421">
        <v>4.04</v>
      </c>
      <c r="J421" t="s">
        <v>1854</v>
      </c>
      <c r="K421" t="s">
        <v>147</v>
      </c>
      <c r="L421">
        <v>336</v>
      </c>
      <c r="M421">
        <v>2012</v>
      </c>
      <c r="N421">
        <v>2012</v>
      </c>
      <c r="O421" s="2">
        <v>43704</v>
      </c>
      <c r="P421" s="2">
        <v>43702</v>
      </c>
      <c r="Q421" t="s">
        <v>1527</v>
      </c>
      <c r="R421" t="s">
        <v>1855</v>
      </c>
      <c r="S421" t="s">
        <v>125</v>
      </c>
      <c r="T421" t="s">
        <v>1856</v>
      </c>
      <c r="U421" t="s">
        <v>119</v>
      </c>
      <c r="V421" t="s">
        <v>119</v>
      </c>
      <c r="W421">
        <v>1</v>
      </c>
      <c r="X421">
        <v>0</v>
      </c>
    </row>
    <row r="422" spans="1:24" x14ac:dyDescent="0.25">
      <c r="A422">
        <v>40060191</v>
      </c>
      <c r="B422" t="s">
        <v>2078</v>
      </c>
      <c r="C422" t="s">
        <v>1887</v>
      </c>
      <c r="D422" t="s">
        <v>1888</v>
      </c>
      <c r="E422" t="s">
        <v>119</v>
      </c>
      <c r="F422" t="s">
        <v>120</v>
      </c>
      <c r="G422" t="s">
        <v>120</v>
      </c>
      <c r="H422">
        <v>4</v>
      </c>
      <c r="I422">
        <v>4.38</v>
      </c>
      <c r="J422" t="s">
        <v>2079</v>
      </c>
      <c r="K422" t="s">
        <v>122</v>
      </c>
      <c r="L422">
        <v>790</v>
      </c>
      <c r="M422">
        <v>2018</v>
      </c>
      <c r="N422">
        <v>2018</v>
      </c>
      <c r="O422" s="2">
        <v>43510</v>
      </c>
      <c r="P422" s="2">
        <v>43446</v>
      </c>
      <c r="Q422" t="s">
        <v>119</v>
      </c>
      <c r="R422" t="s">
        <v>119</v>
      </c>
      <c r="S422" t="s">
        <v>125</v>
      </c>
      <c r="T422" t="s">
        <v>119</v>
      </c>
      <c r="U422" t="s">
        <v>119</v>
      </c>
      <c r="V422" t="s">
        <v>119</v>
      </c>
      <c r="W422">
        <v>1</v>
      </c>
      <c r="X422">
        <v>0</v>
      </c>
    </row>
    <row r="423" spans="1:24" x14ac:dyDescent="0.25">
      <c r="A423">
        <v>10127019</v>
      </c>
      <c r="B423" t="s">
        <v>2470</v>
      </c>
      <c r="C423" t="s">
        <v>2471</v>
      </c>
      <c r="D423" t="s">
        <v>2472</v>
      </c>
      <c r="E423" t="s">
        <v>119</v>
      </c>
      <c r="F423" t="s">
        <v>2473</v>
      </c>
      <c r="G423" t="s">
        <v>2474</v>
      </c>
      <c r="H423">
        <v>4</v>
      </c>
      <c r="I423">
        <v>4.1100000000000003</v>
      </c>
      <c r="J423" t="s">
        <v>782</v>
      </c>
      <c r="K423" t="s">
        <v>147</v>
      </c>
      <c r="L423">
        <v>299</v>
      </c>
      <c r="M423">
        <v>2011</v>
      </c>
      <c r="N423">
        <v>2011</v>
      </c>
      <c r="O423" s="2">
        <v>42439</v>
      </c>
      <c r="P423" s="2">
        <v>42379</v>
      </c>
      <c r="Q423" t="s">
        <v>2468</v>
      </c>
      <c r="R423" t="s">
        <v>2475</v>
      </c>
      <c r="S423" t="s">
        <v>125</v>
      </c>
      <c r="T423" t="s">
        <v>119</v>
      </c>
      <c r="U423" t="s">
        <v>119</v>
      </c>
      <c r="V423" t="s">
        <v>119</v>
      </c>
      <c r="W423">
        <v>1</v>
      </c>
      <c r="X423">
        <v>0</v>
      </c>
    </row>
    <row r="424" spans="1:24" x14ac:dyDescent="0.25">
      <c r="A424">
        <v>22318578</v>
      </c>
      <c r="B424" t="s">
        <v>1879</v>
      </c>
      <c r="C424" t="s">
        <v>1880</v>
      </c>
      <c r="D424" t="s">
        <v>1881</v>
      </c>
      <c r="E424" t="s">
        <v>1882</v>
      </c>
      <c r="F424" t="s">
        <v>1883</v>
      </c>
      <c r="G424" t="s">
        <v>1884</v>
      </c>
      <c r="H424">
        <v>0</v>
      </c>
      <c r="I424">
        <v>3.87</v>
      </c>
      <c r="J424" t="s">
        <v>947</v>
      </c>
      <c r="K424" t="s">
        <v>147</v>
      </c>
      <c r="L424">
        <v>213</v>
      </c>
      <c r="M424">
        <v>2014</v>
      </c>
      <c r="N424">
        <v>2010</v>
      </c>
      <c r="O424" s="2"/>
      <c r="P424" s="2">
        <v>43707</v>
      </c>
      <c r="Q424" t="s">
        <v>132</v>
      </c>
      <c r="R424" t="s">
        <v>1885</v>
      </c>
      <c r="S424" t="s">
        <v>132</v>
      </c>
      <c r="T424" t="s">
        <v>119</v>
      </c>
      <c r="U424" t="s">
        <v>119</v>
      </c>
      <c r="V424" t="s">
        <v>119</v>
      </c>
      <c r="W424">
        <v>0</v>
      </c>
      <c r="X424">
        <v>0</v>
      </c>
    </row>
    <row r="425" spans="1:24" x14ac:dyDescent="0.25">
      <c r="A425">
        <v>40630089</v>
      </c>
      <c r="B425" t="s">
        <v>1936</v>
      </c>
      <c r="C425" t="s">
        <v>1937</v>
      </c>
      <c r="D425" t="s">
        <v>1938</v>
      </c>
      <c r="E425" t="s">
        <v>119</v>
      </c>
      <c r="F425" t="s">
        <v>1939</v>
      </c>
      <c r="G425" t="s">
        <v>1940</v>
      </c>
      <c r="H425">
        <v>0</v>
      </c>
      <c r="I425">
        <v>3.88</v>
      </c>
      <c r="J425" t="s">
        <v>597</v>
      </c>
      <c r="K425" t="s">
        <v>140</v>
      </c>
      <c r="L425">
        <v>233</v>
      </c>
      <c r="M425">
        <v>2019</v>
      </c>
      <c r="O425" s="2"/>
      <c r="P425" s="2">
        <v>43627</v>
      </c>
      <c r="Q425" t="s">
        <v>132</v>
      </c>
      <c r="R425" t="s">
        <v>1941</v>
      </c>
      <c r="S425" t="s">
        <v>132</v>
      </c>
      <c r="T425" t="s">
        <v>119</v>
      </c>
      <c r="U425" t="s">
        <v>119</v>
      </c>
      <c r="V425" t="s">
        <v>119</v>
      </c>
      <c r="W425">
        <v>0</v>
      </c>
      <c r="X425">
        <v>0</v>
      </c>
    </row>
    <row r="426" spans="1:24" x14ac:dyDescent="0.25">
      <c r="A426">
        <v>2467566</v>
      </c>
      <c r="B426" t="s">
        <v>1304</v>
      </c>
      <c r="C426" t="s">
        <v>1305</v>
      </c>
      <c r="D426" t="s">
        <v>1306</v>
      </c>
      <c r="E426" t="s">
        <v>119</v>
      </c>
      <c r="F426" t="s">
        <v>1307</v>
      </c>
      <c r="G426" t="s">
        <v>1308</v>
      </c>
      <c r="H426">
        <v>0</v>
      </c>
      <c r="I426">
        <v>3.81</v>
      </c>
      <c r="J426" t="s">
        <v>1309</v>
      </c>
      <c r="K426" t="s">
        <v>140</v>
      </c>
      <c r="L426">
        <v>288</v>
      </c>
      <c r="M426">
        <v>2008</v>
      </c>
      <c r="N426">
        <v>2006</v>
      </c>
      <c r="O426" s="2"/>
      <c r="P426" s="2">
        <v>44115</v>
      </c>
      <c r="Q426" t="s">
        <v>132</v>
      </c>
      <c r="R426" t="s">
        <v>1310</v>
      </c>
      <c r="S426" t="s">
        <v>132</v>
      </c>
      <c r="T426" t="s">
        <v>119</v>
      </c>
      <c r="U426" t="s">
        <v>119</v>
      </c>
      <c r="V426" t="s">
        <v>119</v>
      </c>
      <c r="W426">
        <v>0</v>
      </c>
      <c r="X426">
        <v>0</v>
      </c>
    </row>
    <row r="427" spans="1:24" x14ac:dyDescent="0.25">
      <c r="A427">
        <v>33</v>
      </c>
      <c r="B427" t="s">
        <v>2081</v>
      </c>
      <c r="C427" t="s">
        <v>2082</v>
      </c>
      <c r="D427" t="s">
        <v>2083</v>
      </c>
      <c r="E427" t="s">
        <v>119</v>
      </c>
      <c r="F427" t="s">
        <v>120</v>
      </c>
      <c r="G427" t="s">
        <v>120</v>
      </c>
      <c r="H427">
        <v>5</v>
      </c>
      <c r="I427">
        <v>4.5199999999999996</v>
      </c>
      <c r="J427" t="s">
        <v>457</v>
      </c>
      <c r="K427" t="s">
        <v>140</v>
      </c>
      <c r="L427">
        <v>1216</v>
      </c>
      <c r="M427">
        <v>2005</v>
      </c>
      <c r="N427">
        <v>1955</v>
      </c>
      <c r="O427" s="2"/>
      <c r="P427" s="2">
        <v>43508</v>
      </c>
      <c r="Q427" t="s">
        <v>119</v>
      </c>
      <c r="R427" t="s">
        <v>119</v>
      </c>
      <c r="S427" t="s">
        <v>125</v>
      </c>
      <c r="T427" t="s">
        <v>119</v>
      </c>
      <c r="U427" t="s">
        <v>119</v>
      </c>
      <c r="V427" t="s">
        <v>119</v>
      </c>
      <c r="W427">
        <v>1</v>
      </c>
      <c r="X427">
        <v>0</v>
      </c>
    </row>
    <row r="428" spans="1:24" x14ac:dyDescent="0.25">
      <c r="A428">
        <v>15772384</v>
      </c>
      <c r="B428" t="s">
        <v>1609</v>
      </c>
      <c r="C428" t="s">
        <v>1610</v>
      </c>
      <c r="D428" t="s">
        <v>1611</v>
      </c>
      <c r="E428" t="s">
        <v>119</v>
      </c>
      <c r="F428" t="s">
        <v>120</v>
      </c>
      <c r="G428" t="s">
        <v>120</v>
      </c>
      <c r="H428">
        <v>4</v>
      </c>
      <c r="I428">
        <v>3.93</v>
      </c>
      <c r="J428" t="s">
        <v>1612</v>
      </c>
      <c r="K428" t="s">
        <v>119</v>
      </c>
      <c r="L428">
        <v>333</v>
      </c>
      <c r="M428">
        <v>2012</v>
      </c>
      <c r="N428">
        <v>2018</v>
      </c>
      <c r="O428" s="2">
        <v>43933</v>
      </c>
      <c r="P428" s="2">
        <v>43928</v>
      </c>
      <c r="Q428" t="s">
        <v>119</v>
      </c>
      <c r="R428" t="s">
        <v>119</v>
      </c>
      <c r="S428" t="s">
        <v>125</v>
      </c>
      <c r="T428" t="s">
        <v>119</v>
      </c>
      <c r="U428" t="s">
        <v>119</v>
      </c>
      <c r="V428" t="s">
        <v>119</v>
      </c>
      <c r="W428">
        <v>1</v>
      </c>
      <c r="X428">
        <v>0</v>
      </c>
    </row>
    <row r="429" spans="1:24" x14ac:dyDescent="0.25">
      <c r="A429">
        <v>43889703</v>
      </c>
      <c r="B429" t="s">
        <v>1050</v>
      </c>
      <c r="C429" t="s">
        <v>1051</v>
      </c>
      <c r="D429" t="s">
        <v>1052</v>
      </c>
      <c r="E429" t="s">
        <v>119</v>
      </c>
      <c r="F429" t="s">
        <v>1053</v>
      </c>
      <c r="G429" t="s">
        <v>1054</v>
      </c>
      <c r="H429">
        <v>0</v>
      </c>
      <c r="I429">
        <v>4.03</v>
      </c>
      <c r="J429" t="s">
        <v>1055</v>
      </c>
      <c r="K429" t="s">
        <v>140</v>
      </c>
      <c r="L429">
        <v>359</v>
      </c>
      <c r="M429">
        <v>2019</v>
      </c>
      <c r="N429">
        <v>2019</v>
      </c>
      <c r="O429" s="2"/>
      <c r="P429" s="2">
        <v>44257</v>
      </c>
      <c r="Q429" t="s">
        <v>132</v>
      </c>
      <c r="R429" t="s">
        <v>1056</v>
      </c>
      <c r="S429" t="s">
        <v>132</v>
      </c>
      <c r="T429" t="s">
        <v>119</v>
      </c>
      <c r="U429" t="s">
        <v>119</v>
      </c>
      <c r="V429" t="s">
        <v>119</v>
      </c>
      <c r="W429">
        <v>0</v>
      </c>
      <c r="X429">
        <v>0</v>
      </c>
    </row>
    <row r="430" spans="1:24" x14ac:dyDescent="0.25">
      <c r="A430">
        <v>18872437</v>
      </c>
      <c r="B430" t="s">
        <v>2421</v>
      </c>
      <c r="C430" t="s">
        <v>2422</v>
      </c>
      <c r="D430" t="s">
        <v>2423</v>
      </c>
      <c r="E430" t="s">
        <v>119</v>
      </c>
      <c r="F430" t="s">
        <v>2424</v>
      </c>
      <c r="G430" t="s">
        <v>2425</v>
      </c>
      <c r="H430">
        <v>5</v>
      </c>
      <c r="I430">
        <v>4.32</v>
      </c>
      <c r="J430" t="s">
        <v>2426</v>
      </c>
      <c r="K430" t="s">
        <v>140</v>
      </c>
      <c r="L430">
        <v>322</v>
      </c>
      <c r="M430">
        <v>2011</v>
      </c>
      <c r="N430">
        <v>2010</v>
      </c>
      <c r="O430" s="2">
        <v>42976</v>
      </c>
      <c r="P430" s="2">
        <v>42980</v>
      </c>
      <c r="Q430" t="s">
        <v>2427</v>
      </c>
      <c r="R430" t="s">
        <v>2428</v>
      </c>
      <c r="S430" t="s">
        <v>125</v>
      </c>
      <c r="T430" t="s">
        <v>119</v>
      </c>
      <c r="U430" t="s">
        <v>119</v>
      </c>
      <c r="V430" t="s">
        <v>119</v>
      </c>
      <c r="W430">
        <v>1</v>
      </c>
      <c r="X430">
        <v>0</v>
      </c>
    </row>
    <row r="431" spans="1:24" x14ac:dyDescent="0.25">
      <c r="A431">
        <v>95747</v>
      </c>
      <c r="B431" t="s">
        <v>878</v>
      </c>
      <c r="C431" t="s">
        <v>197</v>
      </c>
      <c r="D431" t="s">
        <v>198</v>
      </c>
      <c r="E431" t="s">
        <v>879</v>
      </c>
      <c r="F431" t="s">
        <v>880</v>
      </c>
      <c r="G431" t="s">
        <v>881</v>
      </c>
      <c r="H431">
        <v>5</v>
      </c>
      <c r="I431">
        <v>4.1900000000000004</v>
      </c>
      <c r="J431" t="s">
        <v>264</v>
      </c>
      <c r="K431" t="s">
        <v>140</v>
      </c>
      <c r="L431">
        <v>140</v>
      </c>
      <c r="M431">
        <v>1999</v>
      </c>
      <c r="N431">
        <v>1975</v>
      </c>
      <c r="O431" s="2">
        <v>44440</v>
      </c>
      <c r="P431" s="2">
        <v>42562</v>
      </c>
      <c r="Q431" t="s">
        <v>882</v>
      </c>
      <c r="R431" t="s">
        <v>883</v>
      </c>
      <c r="S431" t="s">
        <v>125</v>
      </c>
      <c r="T431" t="s">
        <v>119</v>
      </c>
      <c r="U431" t="s">
        <v>119</v>
      </c>
      <c r="V431" t="s">
        <v>119</v>
      </c>
      <c r="W431">
        <v>1</v>
      </c>
      <c r="X431">
        <v>0</v>
      </c>
    </row>
    <row r="432" spans="1:24" x14ac:dyDescent="0.25">
      <c r="A432">
        <v>28251002</v>
      </c>
      <c r="B432" t="s">
        <v>688</v>
      </c>
      <c r="C432" t="s">
        <v>689</v>
      </c>
      <c r="D432" t="s">
        <v>690</v>
      </c>
      <c r="E432" t="s">
        <v>119</v>
      </c>
      <c r="F432" t="s">
        <v>691</v>
      </c>
      <c r="G432" t="s">
        <v>692</v>
      </c>
      <c r="H432">
        <v>5</v>
      </c>
      <c r="I432">
        <v>4.07</v>
      </c>
      <c r="J432" t="s">
        <v>693</v>
      </c>
      <c r="K432" t="s">
        <v>147</v>
      </c>
      <c r="L432">
        <v>640</v>
      </c>
      <c r="M432">
        <v>2016</v>
      </c>
      <c r="N432">
        <v>2016</v>
      </c>
      <c r="O432" s="2">
        <v>44574</v>
      </c>
      <c r="P432" s="2">
        <v>43104</v>
      </c>
      <c r="Q432" t="s">
        <v>119</v>
      </c>
      <c r="R432" t="s">
        <v>119</v>
      </c>
      <c r="S432" t="s">
        <v>125</v>
      </c>
      <c r="T432" t="s">
        <v>694</v>
      </c>
      <c r="U432" t="s">
        <v>119</v>
      </c>
      <c r="V432" t="s">
        <v>119</v>
      </c>
      <c r="W432">
        <v>1</v>
      </c>
      <c r="X432">
        <v>0</v>
      </c>
    </row>
    <row r="433" spans="1:24" x14ac:dyDescent="0.25">
      <c r="A433">
        <v>18668059</v>
      </c>
      <c r="B433" t="s">
        <v>2698</v>
      </c>
      <c r="C433" t="s">
        <v>819</v>
      </c>
      <c r="D433" t="s">
        <v>820</v>
      </c>
      <c r="E433" t="s">
        <v>119</v>
      </c>
      <c r="F433" t="s">
        <v>2699</v>
      </c>
      <c r="G433" t="s">
        <v>2700</v>
      </c>
      <c r="H433">
        <v>4</v>
      </c>
      <c r="I433">
        <v>4.1500000000000004</v>
      </c>
      <c r="J433" t="s">
        <v>388</v>
      </c>
      <c r="K433" t="s">
        <v>147</v>
      </c>
      <c r="L433">
        <v>201</v>
      </c>
      <c r="M433">
        <v>2014</v>
      </c>
      <c r="N433">
        <v>2014</v>
      </c>
      <c r="O433" s="2">
        <v>42600</v>
      </c>
      <c r="P433" s="2">
        <v>42416</v>
      </c>
      <c r="Q433" t="s">
        <v>2322</v>
      </c>
      <c r="R433" t="s">
        <v>2701</v>
      </c>
      <c r="S433" t="s">
        <v>125</v>
      </c>
      <c r="T433" t="s">
        <v>119</v>
      </c>
      <c r="U433" t="s">
        <v>119</v>
      </c>
      <c r="V433" t="s">
        <v>119</v>
      </c>
      <c r="W433">
        <v>1</v>
      </c>
      <c r="X433">
        <v>0</v>
      </c>
    </row>
    <row r="434" spans="1:24" x14ac:dyDescent="0.25">
      <c r="A434">
        <v>40180098</v>
      </c>
      <c r="B434" t="s">
        <v>1425</v>
      </c>
      <c r="C434" t="s">
        <v>1426</v>
      </c>
      <c r="D434" t="s">
        <v>1427</v>
      </c>
      <c r="E434" t="s">
        <v>119</v>
      </c>
      <c r="F434" t="s">
        <v>1428</v>
      </c>
      <c r="G434" t="s">
        <v>1429</v>
      </c>
      <c r="H434">
        <v>0</v>
      </c>
      <c r="I434">
        <v>4.13</v>
      </c>
      <c r="J434" t="s">
        <v>1430</v>
      </c>
      <c r="K434" t="s">
        <v>140</v>
      </c>
      <c r="L434">
        <v>502</v>
      </c>
      <c r="M434">
        <v>2019</v>
      </c>
      <c r="N434">
        <v>2018</v>
      </c>
      <c r="O434" s="2"/>
      <c r="P434" s="2">
        <v>44018</v>
      </c>
      <c r="Q434" t="s">
        <v>132</v>
      </c>
      <c r="R434" t="s">
        <v>1431</v>
      </c>
      <c r="S434" t="s">
        <v>132</v>
      </c>
      <c r="T434" t="s">
        <v>119</v>
      </c>
      <c r="U434" t="s">
        <v>119</v>
      </c>
      <c r="V434" t="s">
        <v>119</v>
      </c>
      <c r="W434">
        <v>0</v>
      </c>
      <c r="X434">
        <v>0</v>
      </c>
    </row>
    <row r="435" spans="1:24" x14ac:dyDescent="0.25">
      <c r="A435">
        <v>26533127</v>
      </c>
      <c r="B435" t="s">
        <v>599</v>
      </c>
      <c r="C435" t="s">
        <v>600</v>
      </c>
      <c r="D435" t="s">
        <v>601</v>
      </c>
      <c r="E435" t="s">
        <v>119</v>
      </c>
      <c r="F435" t="s">
        <v>120</v>
      </c>
      <c r="G435" t="s">
        <v>120</v>
      </c>
      <c r="H435">
        <v>4</v>
      </c>
      <c r="I435">
        <v>4.03</v>
      </c>
      <c r="J435" t="s">
        <v>602</v>
      </c>
      <c r="K435" t="s">
        <v>122</v>
      </c>
      <c r="L435">
        <v>360</v>
      </c>
      <c r="M435">
        <v>2015</v>
      </c>
      <c r="N435">
        <v>2015</v>
      </c>
      <c r="O435" s="2">
        <v>44598</v>
      </c>
      <c r="P435" s="2">
        <v>44565</v>
      </c>
      <c r="Q435" t="s">
        <v>119</v>
      </c>
      <c r="R435" t="s">
        <v>119</v>
      </c>
      <c r="S435" t="s">
        <v>125</v>
      </c>
      <c r="T435" t="s">
        <v>603</v>
      </c>
      <c r="U435" t="s">
        <v>119</v>
      </c>
      <c r="V435" t="s">
        <v>119</v>
      </c>
      <c r="W435">
        <v>1</v>
      </c>
      <c r="X435">
        <v>0</v>
      </c>
    </row>
    <row r="436" spans="1:24" x14ac:dyDescent="0.25">
      <c r="A436">
        <v>24885533</v>
      </c>
      <c r="B436" t="s">
        <v>1315</v>
      </c>
      <c r="C436" t="s">
        <v>1316</v>
      </c>
      <c r="D436" t="s">
        <v>1317</v>
      </c>
      <c r="E436" t="s">
        <v>119</v>
      </c>
      <c r="F436" t="s">
        <v>1318</v>
      </c>
      <c r="G436" t="s">
        <v>1319</v>
      </c>
      <c r="H436">
        <v>0</v>
      </c>
      <c r="I436">
        <v>4.37</v>
      </c>
      <c r="J436" t="s">
        <v>1320</v>
      </c>
      <c r="K436" t="s">
        <v>147</v>
      </c>
      <c r="L436">
        <v>464</v>
      </c>
      <c r="M436">
        <v>2016</v>
      </c>
      <c r="N436">
        <v>2016</v>
      </c>
      <c r="O436" s="2"/>
      <c r="P436" s="2">
        <v>43941</v>
      </c>
      <c r="Q436" t="s">
        <v>265</v>
      </c>
      <c r="R436" t="s">
        <v>1321</v>
      </c>
      <c r="S436" t="s">
        <v>265</v>
      </c>
      <c r="T436" t="s">
        <v>119</v>
      </c>
      <c r="U436" t="s">
        <v>119</v>
      </c>
      <c r="V436" t="s">
        <v>119</v>
      </c>
      <c r="W436">
        <v>1</v>
      </c>
      <c r="X436">
        <v>0</v>
      </c>
    </row>
    <row r="437" spans="1:24" x14ac:dyDescent="0.25">
      <c r="A437">
        <v>13586762</v>
      </c>
      <c r="B437" t="s">
        <v>1788</v>
      </c>
      <c r="C437" t="s">
        <v>1789</v>
      </c>
      <c r="D437" t="s">
        <v>1790</v>
      </c>
      <c r="E437" t="s">
        <v>119</v>
      </c>
      <c r="F437" t="s">
        <v>1791</v>
      </c>
      <c r="G437" t="s">
        <v>1792</v>
      </c>
      <c r="H437">
        <v>0</v>
      </c>
      <c r="I437">
        <v>4.0999999999999996</v>
      </c>
      <c r="J437" t="s">
        <v>388</v>
      </c>
      <c r="K437" t="s">
        <v>140</v>
      </c>
      <c r="L437">
        <v>464</v>
      </c>
      <c r="M437">
        <v>2012</v>
      </c>
      <c r="N437">
        <v>2010</v>
      </c>
      <c r="O437" s="2"/>
      <c r="P437" s="2">
        <v>43783</v>
      </c>
      <c r="Q437" t="s">
        <v>132</v>
      </c>
      <c r="R437" t="s">
        <v>1793</v>
      </c>
      <c r="S437" t="s">
        <v>132</v>
      </c>
      <c r="T437" t="s">
        <v>119</v>
      </c>
      <c r="U437" t="s">
        <v>119</v>
      </c>
      <c r="V437" t="s">
        <v>119</v>
      </c>
      <c r="W437">
        <v>0</v>
      </c>
      <c r="X437">
        <v>0</v>
      </c>
    </row>
    <row r="438" spans="1:24" x14ac:dyDescent="0.25">
      <c r="A438">
        <v>10260</v>
      </c>
      <c r="B438" t="s">
        <v>2924</v>
      </c>
      <c r="C438" t="s">
        <v>2925</v>
      </c>
      <c r="D438" t="s">
        <v>2926</v>
      </c>
      <c r="E438" t="s">
        <v>2927</v>
      </c>
      <c r="F438" t="s">
        <v>120</v>
      </c>
      <c r="G438" t="s">
        <v>120</v>
      </c>
      <c r="H438">
        <v>5</v>
      </c>
      <c r="I438">
        <v>4.2300000000000004</v>
      </c>
      <c r="J438" t="s">
        <v>1041</v>
      </c>
      <c r="K438" t="s">
        <v>140</v>
      </c>
      <c r="L438">
        <v>270</v>
      </c>
      <c r="M438">
        <v>2005</v>
      </c>
      <c r="N438">
        <v>1999</v>
      </c>
      <c r="O438" s="2"/>
      <c r="P438" s="2">
        <v>42165</v>
      </c>
      <c r="Q438" t="s">
        <v>2418</v>
      </c>
      <c r="R438" t="s">
        <v>2928</v>
      </c>
      <c r="S438" t="s">
        <v>125</v>
      </c>
      <c r="T438" t="s">
        <v>119</v>
      </c>
      <c r="U438" t="s">
        <v>119</v>
      </c>
      <c r="V438" t="s">
        <v>119</v>
      </c>
      <c r="W438">
        <v>1</v>
      </c>
      <c r="X438">
        <v>0</v>
      </c>
    </row>
    <row r="439" spans="1:24" x14ac:dyDescent="0.25">
      <c r="A439">
        <v>319016</v>
      </c>
      <c r="B439" t="s">
        <v>1521</v>
      </c>
      <c r="C439" t="s">
        <v>1522</v>
      </c>
      <c r="D439" t="s">
        <v>1523</v>
      </c>
      <c r="E439" t="s">
        <v>119</v>
      </c>
      <c r="F439" t="s">
        <v>1524</v>
      </c>
      <c r="G439" t="s">
        <v>1525</v>
      </c>
      <c r="H439">
        <v>0</v>
      </c>
      <c r="I439">
        <v>3.87</v>
      </c>
      <c r="J439" t="s">
        <v>1526</v>
      </c>
      <c r="K439" t="s">
        <v>147</v>
      </c>
      <c r="L439">
        <v>293</v>
      </c>
      <c r="M439">
        <v>2007</v>
      </c>
      <c r="N439">
        <v>2007</v>
      </c>
      <c r="O439" s="2"/>
      <c r="P439" s="2">
        <v>43976</v>
      </c>
      <c r="Q439" t="s">
        <v>1527</v>
      </c>
      <c r="R439" t="s">
        <v>1528</v>
      </c>
      <c r="S439" t="s">
        <v>125</v>
      </c>
      <c r="T439" t="s">
        <v>119</v>
      </c>
      <c r="U439" t="s">
        <v>119</v>
      </c>
      <c r="V439" t="s">
        <v>119</v>
      </c>
      <c r="W439">
        <v>1</v>
      </c>
      <c r="X439">
        <v>0</v>
      </c>
    </row>
    <row r="440" spans="1:24" x14ac:dyDescent="0.25">
      <c r="A440">
        <v>51218571</v>
      </c>
      <c r="B440" t="s">
        <v>868</v>
      </c>
      <c r="C440" t="s">
        <v>869</v>
      </c>
      <c r="D440" t="s">
        <v>870</v>
      </c>
      <c r="E440" t="s">
        <v>119</v>
      </c>
      <c r="F440" t="s">
        <v>120</v>
      </c>
      <c r="G440" t="s">
        <v>120</v>
      </c>
      <c r="H440">
        <v>0</v>
      </c>
      <c r="I440">
        <v>4.51</v>
      </c>
      <c r="J440" t="s">
        <v>871</v>
      </c>
      <c r="K440" t="s">
        <v>122</v>
      </c>
      <c r="M440">
        <v>2020</v>
      </c>
      <c r="O440" s="2"/>
      <c r="P440" s="2">
        <v>44441</v>
      </c>
      <c r="Q440" t="s">
        <v>132</v>
      </c>
      <c r="R440" t="s">
        <v>872</v>
      </c>
      <c r="S440" t="s">
        <v>132</v>
      </c>
      <c r="T440" t="s">
        <v>119</v>
      </c>
      <c r="U440" t="s">
        <v>119</v>
      </c>
      <c r="V440" t="s">
        <v>119</v>
      </c>
      <c r="W440">
        <v>0</v>
      </c>
      <c r="X440">
        <v>0</v>
      </c>
    </row>
    <row r="441" spans="1:24" x14ac:dyDescent="0.25">
      <c r="A441">
        <v>52810212</v>
      </c>
      <c r="B441" t="s">
        <v>858</v>
      </c>
      <c r="C441" t="s">
        <v>859</v>
      </c>
      <c r="D441" t="s">
        <v>860</v>
      </c>
      <c r="E441" t="s">
        <v>119</v>
      </c>
      <c r="F441" t="s">
        <v>861</v>
      </c>
      <c r="G441" t="s">
        <v>862</v>
      </c>
      <c r="H441">
        <v>0</v>
      </c>
      <c r="I441">
        <v>3.63</v>
      </c>
      <c r="J441" t="s">
        <v>424</v>
      </c>
      <c r="K441" t="s">
        <v>147</v>
      </c>
      <c r="L441">
        <v>288</v>
      </c>
      <c r="M441">
        <v>2019</v>
      </c>
      <c r="N441">
        <v>2019</v>
      </c>
      <c r="O441" s="2"/>
      <c r="P441" s="2">
        <v>44094</v>
      </c>
      <c r="Q441" t="s">
        <v>132</v>
      </c>
      <c r="R441" t="s">
        <v>863</v>
      </c>
      <c r="S441" t="s">
        <v>132</v>
      </c>
      <c r="T441" t="s">
        <v>119</v>
      </c>
      <c r="U441" t="s">
        <v>119</v>
      </c>
      <c r="V441" t="s">
        <v>119</v>
      </c>
      <c r="W441">
        <v>0</v>
      </c>
      <c r="X441">
        <v>0</v>
      </c>
    </row>
    <row r="442" spans="1:24" x14ac:dyDescent="0.25">
      <c r="A442">
        <v>53335614</v>
      </c>
      <c r="B442" t="s">
        <v>1556</v>
      </c>
      <c r="C442" t="s">
        <v>1557</v>
      </c>
      <c r="D442" t="s">
        <v>1558</v>
      </c>
      <c r="E442" t="s">
        <v>119</v>
      </c>
      <c r="F442" t="s">
        <v>120</v>
      </c>
      <c r="G442" t="s">
        <v>1559</v>
      </c>
      <c r="H442">
        <v>2</v>
      </c>
      <c r="I442">
        <v>4.18</v>
      </c>
      <c r="J442" t="s">
        <v>1512</v>
      </c>
      <c r="K442" t="s">
        <v>273</v>
      </c>
      <c r="L442">
        <v>148</v>
      </c>
      <c r="M442">
        <v>2020</v>
      </c>
      <c r="O442" s="2">
        <v>43963</v>
      </c>
      <c r="P442" s="2">
        <v>43956</v>
      </c>
      <c r="Q442" t="s">
        <v>119</v>
      </c>
      <c r="R442" t="s">
        <v>119</v>
      </c>
      <c r="S442" t="s">
        <v>125</v>
      </c>
      <c r="T442" t="s">
        <v>119</v>
      </c>
      <c r="U442" t="s">
        <v>119</v>
      </c>
      <c r="V442" t="s">
        <v>119</v>
      </c>
      <c r="W442">
        <v>1</v>
      </c>
      <c r="X442">
        <v>0</v>
      </c>
    </row>
    <row r="443" spans="1:24" x14ac:dyDescent="0.25">
      <c r="A443">
        <v>12609433</v>
      </c>
      <c r="B443" t="s">
        <v>2947</v>
      </c>
      <c r="C443" t="s">
        <v>2948</v>
      </c>
      <c r="D443" t="s">
        <v>2949</v>
      </c>
      <c r="E443" t="s">
        <v>119</v>
      </c>
      <c r="F443" t="s">
        <v>2950</v>
      </c>
      <c r="G443" t="s">
        <v>2951</v>
      </c>
      <c r="H443">
        <v>4</v>
      </c>
      <c r="I443">
        <v>4.13</v>
      </c>
      <c r="J443" t="s">
        <v>210</v>
      </c>
      <c r="K443" t="s">
        <v>147</v>
      </c>
      <c r="L443">
        <v>375</v>
      </c>
      <c r="M443">
        <v>2012</v>
      </c>
      <c r="N443">
        <v>2012</v>
      </c>
      <c r="O443" s="2">
        <v>42307</v>
      </c>
      <c r="P443" s="2">
        <v>42165</v>
      </c>
      <c r="Q443" t="s">
        <v>119</v>
      </c>
      <c r="R443" t="s">
        <v>119</v>
      </c>
      <c r="S443" t="s">
        <v>125</v>
      </c>
      <c r="T443" t="s">
        <v>119</v>
      </c>
      <c r="U443" t="s">
        <v>119</v>
      </c>
      <c r="V443" t="s">
        <v>119</v>
      </c>
      <c r="W443">
        <v>1</v>
      </c>
      <c r="X443">
        <v>0</v>
      </c>
    </row>
    <row r="444" spans="1:24" x14ac:dyDescent="0.25">
      <c r="A444">
        <v>30008950</v>
      </c>
      <c r="B444" t="s">
        <v>1080</v>
      </c>
      <c r="C444" t="s">
        <v>1081</v>
      </c>
      <c r="D444" t="s">
        <v>1082</v>
      </c>
      <c r="E444" t="s">
        <v>119</v>
      </c>
      <c r="F444" t="s">
        <v>1083</v>
      </c>
      <c r="G444" t="s">
        <v>1084</v>
      </c>
      <c r="H444">
        <v>0</v>
      </c>
      <c r="I444">
        <v>4.0199999999999996</v>
      </c>
      <c r="J444" t="s">
        <v>193</v>
      </c>
      <c r="K444" t="s">
        <v>147</v>
      </c>
      <c r="L444">
        <v>304</v>
      </c>
      <c r="M444">
        <v>2017</v>
      </c>
      <c r="N444">
        <v>2017</v>
      </c>
      <c r="O444" s="2"/>
      <c r="P444" s="2">
        <v>44215</v>
      </c>
      <c r="Q444" t="s">
        <v>132</v>
      </c>
      <c r="R444" t="s">
        <v>1085</v>
      </c>
      <c r="S444" t="s">
        <v>132</v>
      </c>
      <c r="T444" t="s">
        <v>119</v>
      </c>
      <c r="U444" t="s">
        <v>119</v>
      </c>
      <c r="V444" t="s">
        <v>119</v>
      </c>
      <c r="W444">
        <v>0</v>
      </c>
      <c r="X444">
        <v>0</v>
      </c>
    </row>
    <row r="445" spans="1:24" x14ac:dyDescent="0.25">
      <c r="A445">
        <v>35519</v>
      </c>
      <c r="B445" t="s">
        <v>832</v>
      </c>
      <c r="C445" t="s">
        <v>833</v>
      </c>
      <c r="D445" t="s">
        <v>834</v>
      </c>
      <c r="E445" t="s">
        <v>835</v>
      </c>
      <c r="F445" t="s">
        <v>836</v>
      </c>
      <c r="G445" t="s">
        <v>837</v>
      </c>
      <c r="H445">
        <v>0</v>
      </c>
      <c r="I445">
        <v>4.26</v>
      </c>
      <c r="J445" t="s">
        <v>838</v>
      </c>
      <c r="K445" t="s">
        <v>140</v>
      </c>
      <c r="L445">
        <v>320</v>
      </c>
      <c r="M445">
        <v>1988</v>
      </c>
      <c r="N445">
        <v>1988</v>
      </c>
      <c r="O445" s="2"/>
      <c r="P445" s="2">
        <v>44475</v>
      </c>
      <c r="Q445" t="s">
        <v>132</v>
      </c>
      <c r="R445" t="s">
        <v>839</v>
      </c>
      <c r="S445" t="s">
        <v>132</v>
      </c>
      <c r="T445" t="s">
        <v>119</v>
      </c>
      <c r="U445" t="s">
        <v>119</v>
      </c>
      <c r="V445" t="s">
        <v>119</v>
      </c>
      <c r="W445">
        <v>0</v>
      </c>
      <c r="X445">
        <v>0</v>
      </c>
    </row>
    <row r="446" spans="1:24" x14ac:dyDescent="0.25">
      <c r="A446">
        <v>18595404</v>
      </c>
      <c r="B446" t="s">
        <v>559</v>
      </c>
      <c r="C446" t="s">
        <v>560</v>
      </c>
      <c r="D446" t="s">
        <v>561</v>
      </c>
      <c r="E446" t="s">
        <v>562</v>
      </c>
      <c r="F446" t="s">
        <v>563</v>
      </c>
      <c r="G446" t="s">
        <v>564</v>
      </c>
      <c r="H446">
        <v>0</v>
      </c>
      <c r="I446">
        <v>3.51</v>
      </c>
      <c r="J446" t="s">
        <v>565</v>
      </c>
      <c r="K446" t="s">
        <v>140</v>
      </c>
      <c r="L446">
        <v>240</v>
      </c>
      <c r="M446">
        <v>2014</v>
      </c>
      <c r="N446">
        <v>2011</v>
      </c>
      <c r="O446" s="2"/>
      <c r="P446" s="2">
        <v>44639</v>
      </c>
      <c r="Q446" t="s">
        <v>132</v>
      </c>
      <c r="R446" t="s">
        <v>566</v>
      </c>
      <c r="S446" t="s">
        <v>132</v>
      </c>
      <c r="T446" t="s">
        <v>119</v>
      </c>
      <c r="U446" t="s">
        <v>119</v>
      </c>
      <c r="V446" t="s">
        <v>119</v>
      </c>
      <c r="W446">
        <v>0</v>
      </c>
      <c r="X446">
        <v>0</v>
      </c>
    </row>
    <row r="447" spans="1:24" x14ac:dyDescent="0.25">
      <c r="A447">
        <v>855029</v>
      </c>
      <c r="B447" t="s">
        <v>2657</v>
      </c>
      <c r="C447" t="s">
        <v>1242</v>
      </c>
      <c r="D447" t="s">
        <v>1243</v>
      </c>
      <c r="E447" t="s">
        <v>119</v>
      </c>
      <c r="F447" t="s">
        <v>120</v>
      </c>
      <c r="G447" t="s">
        <v>120</v>
      </c>
      <c r="H447">
        <v>5</v>
      </c>
      <c r="I447">
        <v>4.1500000000000004</v>
      </c>
      <c r="J447" t="s">
        <v>2658</v>
      </c>
      <c r="K447" t="s">
        <v>140</v>
      </c>
      <c r="L447">
        <v>191</v>
      </c>
      <c r="M447">
        <v>2001</v>
      </c>
      <c r="N447">
        <v>1997</v>
      </c>
      <c r="O447" s="2">
        <v>41813</v>
      </c>
      <c r="P447" s="2">
        <v>42165</v>
      </c>
      <c r="Q447" t="s">
        <v>882</v>
      </c>
      <c r="R447" t="s">
        <v>2659</v>
      </c>
      <c r="S447" t="s">
        <v>125</v>
      </c>
      <c r="T447" t="s">
        <v>119</v>
      </c>
      <c r="U447" t="s">
        <v>119</v>
      </c>
      <c r="V447" t="s">
        <v>119</v>
      </c>
      <c r="W447">
        <v>1</v>
      </c>
      <c r="X447">
        <v>0</v>
      </c>
    </row>
    <row r="448" spans="1:24" x14ac:dyDescent="0.25">
      <c r="A448">
        <v>58446721</v>
      </c>
      <c r="B448" t="s">
        <v>88</v>
      </c>
      <c r="C448" t="s">
        <v>671</v>
      </c>
      <c r="D448" t="s">
        <v>672</v>
      </c>
      <c r="E448" t="s">
        <v>119</v>
      </c>
      <c r="F448" t="s">
        <v>673</v>
      </c>
      <c r="G448" t="s">
        <v>674</v>
      </c>
      <c r="H448">
        <v>0</v>
      </c>
      <c r="I448">
        <v>3.86</v>
      </c>
      <c r="J448" t="s">
        <v>184</v>
      </c>
      <c r="K448" t="s">
        <v>147</v>
      </c>
      <c r="L448">
        <v>239</v>
      </c>
      <c r="M448">
        <v>2022</v>
      </c>
      <c r="N448">
        <v>2022</v>
      </c>
      <c r="O448" s="2"/>
      <c r="P448" s="2">
        <v>44580</v>
      </c>
      <c r="Q448" t="s">
        <v>132</v>
      </c>
      <c r="R448" t="s">
        <v>675</v>
      </c>
      <c r="S448" t="s">
        <v>132</v>
      </c>
      <c r="T448" t="s">
        <v>119</v>
      </c>
      <c r="U448" t="s">
        <v>119</v>
      </c>
      <c r="V448" t="s">
        <v>119</v>
      </c>
      <c r="W448">
        <v>0</v>
      </c>
      <c r="X448">
        <v>0</v>
      </c>
    </row>
    <row r="449" spans="1:24" x14ac:dyDescent="0.25">
      <c r="A449">
        <v>53479927</v>
      </c>
      <c r="B449" t="s">
        <v>43</v>
      </c>
      <c r="C449" t="s">
        <v>44</v>
      </c>
      <c r="D449" t="s">
        <v>1160</v>
      </c>
      <c r="E449" t="s">
        <v>119</v>
      </c>
      <c r="F449" t="s">
        <v>1168</v>
      </c>
      <c r="G449" t="s">
        <v>1169</v>
      </c>
      <c r="H449">
        <v>0</v>
      </c>
      <c r="I449">
        <v>4.03</v>
      </c>
      <c r="J449" t="s">
        <v>388</v>
      </c>
      <c r="K449" t="s">
        <v>147</v>
      </c>
      <c r="L449">
        <v>272</v>
      </c>
      <c r="M449">
        <v>2020</v>
      </c>
      <c r="N449">
        <v>2020</v>
      </c>
      <c r="O449" s="2"/>
      <c r="P449" s="2">
        <v>44186</v>
      </c>
      <c r="Q449" t="s">
        <v>132</v>
      </c>
      <c r="R449" t="s">
        <v>1170</v>
      </c>
      <c r="S449" t="s">
        <v>132</v>
      </c>
      <c r="T449" t="s">
        <v>119</v>
      </c>
      <c r="U449" t="s">
        <v>119</v>
      </c>
      <c r="V449" t="s">
        <v>119</v>
      </c>
      <c r="W449">
        <v>0</v>
      </c>
      <c r="X449">
        <v>0</v>
      </c>
    </row>
    <row r="450" spans="1:24" x14ac:dyDescent="0.25">
      <c r="A450">
        <v>17594390</v>
      </c>
      <c r="B450" t="s">
        <v>1581</v>
      </c>
      <c r="C450" t="s">
        <v>1582</v>
      </c>
      <c r="D450" t="s">
        <v>1583</v>
      </c>
      <c r="E450" t="s">
        <v>119</v>
      </c>
      <c r="F450" t="s">
        <v>1584</v>
      </c>
      <c r="G450" t="s">
        <v>1585</v>
      </c>
      <c r="H450">
        <v>0</v>
      </c>
      <c r="I450">
        <v>3.96</v>
      </c>
      <c r="J450" t="s">
        <v>1586</v>
      </c>
      <c r="K450" t="s">
        <v>140</v>
      </c>
      <c r="L450">
        <v>208</v>
      </c>
      <c r="M450">
        <v>2013</v>
      </c>
      <c r="N450">
        <v>2012</v>
      </c>
      <c r="O450" s="2"/>
      <c r="P450" s="2">
        <v>43943</v>
      </c>
      <c r="Q450" t="s">
        <v>132</v>
      </c>
      <c r="R450" t="s">
        <v>1587</v>
      </c>
      <c r="S450" t="s">
        <v>132</v>
      </c>
      <c r="T450" t="s">
        <v>119</v>
      </c>
      <c r="U450" t="s">
        <v>119</v>
      </c>
      <c r="V450" t="s">
        <v>119</v>
      </c>
      <c r="W450">
        <v>0</v>
      </c>
      <c r="X450">
        <v>0</v>
      </c>
    </row>
    <row r="451" spans="1:24" x14ac:dyDescent="0.25">
      <c r="A451">
        <v>28921</v>
      </c>
      <c r="B451" t="s">
        <v>1287</v>
      </c>
      <c r="C451" t="s">
        <v>1288</v>
      </c>
      <c r="D451" t="s">
        <v>1289</v>
      </c>
      <c r="E451" t="s">
        <v>119</v>
      </c>
      <c r="F451" t="s">
        <v>120</v>
      </c>
      <c r="G451" t="s">
        <v>120</v>
      </c>
      <c r="H451">
        <v>0</v>
      </c>
      <c r="I451">
        <v>4.1399999999999997</v>
      </c>
      <c r="J451" t="s">
        <v>1290</v>
      </c>
      <c r="K451" t="s">
        <v>140</v>
      </c>
      <c r="L451">
        <v>258</v>
      </c>
      <c r="M451">
        <v>2005</v>
      </c>
      <c r="N451">
        <v>1989</v>
      </c>
      <c r="O451" s="2"/>
      <c r="P451" s="2">
        <v>44137</v>
      </c>
      <c r="Q451" t="s">
        <v>132</v>
      </c>
      <c r="R451" t="s">
        <v>1291</v>
      </c>
      <c r="S451" t="s">
        <v>132</v>
      </c>
      <c r="T451" t="s">
        <v>119</v>
      </c>
      <c r="U451" t="s">
        <v>119</v>
      </c>
      <c r="V451" t="s">
        <v>119</v>
      </c>
      <c r="W451">
        <v>0</v>
      </c>
      <c r="X451">
        <v>0</v>
      </c>
    </row>
    <row r="452" spans="1:24" x14ac:dyDescent="0.25">
      <c r="A452">
        <v>20821371</v>
      </c>
      <c r="B452" t="s">
        <v>1450</v>
      </c>
      <c r="C452" t="s">
        <v>1451</v>
      </c>
      <c r="D452" t="s">
        <v>1452</v>
      </c>
      <c r="E452" t="s">
        <v>119</v>
      </c>
      <c r="F452" t="s">
        <v>1453</v>
      </c>
      <c r="G452" t="s">
        <v>1454</v>
      </c>
      <c r="H452">
        <v>0</v>
      </c>
      <c r="I452">
        <v>4.05</v>
      </c>
      <c r="J452" t="s">
        <v>1247</v>
      </c>
      <c r="K452" t="s">
        <v>147</v>
      </c>
      <c r="L452">
        <v>368</v>
      </c>
      <c r="M452">
        <v>2014</v>
      </c>
      <c r="N452">
        <v>2014</v>
      </c>
      <c r="O452" s="2"/>
      <c r="P452" s="2">
        <v>44003</v>
      </c>
      <c r="Q452" t="s">
        <v>132</v>
      </c>
      <c r="R452" t="s">
        <v>1455</v>
      </c>
      <c r="S452" t="s">
        <v>132</v>
      </c>
      <c r="T452" t="s">
        <v>119</v>
      </c>
      <c r="U452" t="s">
        <v>119</v>
      </c>
      <c r="V452" t="s">
        <v>119</v>
      </c>
      <c r="W452">
        <v>0</v>
      </c>
      <c r="X452">
        <v>0</v>
      </c>
    </row>
    <row r="453" spans="1:24" x14ac:dyDescent="0.25">
      <c r="A453">
        <v>2249</v>
      </c>
      <c r="B453" t="s">
        <v>2685</v>
      </c>
      <c r="C453" t="s">
        <v>656</v>
      </c>
      <c r="D453" t="s">
        <v>657</v>
      </c>
      <c r="E453" t="s">
        <v>119</v>
      </c>
      <c r="F453" t="s">
        <v>2686</v>
      </c>
      <c r="G453" t="s">
        <v>2687</v>
      </c>
      <c r="H453">
        <v>5</v>
      </c>
      <c r="I453">
        <v>4.1500000000000004</v>
      </c>
      <c r="J453" t="s">
        <v>661</v>
      </c>
      <c r="K453" t="s">
        <v>140</v>
      </c>
      <c r="L453">
        <v>368</v>
      </c>
      <c r="M453">
        <v>1990</v>
      </c>
      <c r="N453">
        <v>1988</v>
      </c>
      <c r="O453" s="2">
        <v>42625</v>
      </c>
      <c r="P453" s="2">
        <v>42413</v>
      </c>
      <c r="Q453" t="s">
        <v>2322</v>
      </c>
      <c r="R453" t="s">
        <v>2688</v>
      </c>
      <c r="S453" t="s">
        <v>125</v>
      </c>
      <c r="T453" t="s">
        <v>119</v>
      </c>
      <c r="U453" t="s">
        <v>119</v>
      </c>
      <c r="V453" t="s">
        <v>119</v>
      </c>
      <c r="W453">
        <v>1</v>
      </c>
      <c r="X453">
        <v>0</v>
      </c>
    </row>
    <row r="454" spans="1:24" x14ac:dyDescent="0.25">
      <c r="A454">
        <v>8324940</v>
      </c>
      <c r="B454" t="s">
        <v>2000</v>
      </c>
      <c r="C454" t="s">
        <v>2001</v>
      </c>
      <c r="D454" t="s">
        <v>2002</v>
      </c>
      <c r="E454" t="s">
        <v>2003</v>
      </c>
      <c r="F454" t="s">
        <v>120</v>
      </c>
      <c r="G454" t="s">
        <v>120</v>
      </c>
      <c r="H454">
        <v>0</v>
      </c>
      <c r="I454">
        <v>3.87</v>
      </c>
      <c r="J454" t="s">
        <v>119</v>
      </c>
      <c r="K454" t="s">
        <v>122</v>
      </c>
      <c r="L454">
        <v>212</v>
      </c>
      <c r="O454" s="2"/>
      <c r="P454" s="2">
        <v>43558</v>
      </c>
      <c r="Q454" t="s">
        <v>132</v>
      </c>
      <c r="R454" t="s">
        <v>2004</v>
      </c>
      <c r="S454" t="s">
        <v>132</v>
      </c>
      <c r="T454" t="s">
        <v>119</v>
      </c>
      <c r="U454" t="s">
        <v>119</v>
      </c>
      <c r="V454" t="s">
        <v>119</v>
      </c>
      <c r="W454">
        <v>0</v>
      </c>
      <c r="X454">
        <v>0</v>
      </c>
    </row>
    <row r="455" spans="1:24" x14ac:dyDescent="0.25">
      <c r="A455">
        <v>13588394</v>
      </c>
      <c r="B455" t="s">
        <v>1537</v>
      </c>
      <c r="C455" t="s">
        <v>1538</v>
      </c>
      <c r="D455" t="s">
        <v>1539</v>
      </c>
      <c r="E455" t="s">
        <v>119</v>
      </c>
      <c r="F455" t="s">
        <v>1540</v>
      </c>
      <c r="G455" t="s">
        <v>1541</v>
      </c>
      <c r="H455">
        <v>0</v>
      </c>
      <c r="I455">
        <v>3.97</v>
      </c>
      <c r="J455" t="s">
        <v>1148</v>
      </c>
      <c r="K455" t="s">
        <v>147</v>
      </c>
      <c r="L455">
        <v>534</v>
      </c>
      <c r="M455">
        <v>2012</v>
      </c>
      <c r="N455">
        <v>2012</v>
      </c>
      <c r="O455" s="2"/>
      <c r="P455" s="2">
        <v>43976</v>
      </c>
      <c r="Q455" t="s">
        <v>132</v>
      </c>
      <c r="R455" t="s">
        <v>1542</v>
      </c>
      <c r="S455" t="s">
        <v>132</v>
      </c>
      <c r="T455" t="s">
        <v>119</v>
      </c>
      <c r="U455" t="s">
        <v>119</v>
      </c>
      <c r="V455" t="s">
        <v>119</v>
      </c>
      <c r="W455">
        <v>0</v>
      </c>
      <c r="X455">
        <v>0</v>
      </c>
    </row>
    <row r="456" spans="1:24" x14ac:dyDescent="0.25">
      <c r="A456">
        <v>26220299</v>
      </c>
      <c r="B456" t="s">
        <v>2607</v>
      </c>
      <c r="C456" t="s">
        <v>2608</v>
      </c>
      <c r="D456" t="s">
        <v>2609</v>
      </c>
      <c r="E456" t="s">
        <v>2610</v>
      </c>
      <c r="F456" t="s">
        <v>2611</v>
      </c>
      <c r="G456" t="s">
        <v>2612</v>
      </c>
      <c r="H456">
        <v>3</v>
      </c>
      <c r="I456">
        <v>3.78</v>
      </c>
      <c r="J456" t="s">
        <v>2079</v>
      </c>
      <c r="K456" t="s">
        <v>140</v>
      </c>
      <c r="L456">
        <v>304</v>
      </c>
      <c r="M456">
        <v>2015</v>
      </c>
      <c r="N456">
        <v>2014</v>
      </c>
      <c r="O456" s="2">
        <v>42835</v>
      </c>
      <c r="P456" s="2">
        <v>42820</v>
      </c>
      <c r="Q456" t="s">
        <v>2322</v>
      </c>
      <c r="R456" t="s">
        <v>2613</v>
      </c>
      <c r="S456" t="s">
        <v>125</v>
      </c>
      <c r="T456" t="s">
        <v>119</v>
      </c>
      <c r="U456" t="s">
        <v>119</v>
      </c>
      <c r="V456" t="s">
        <v>119</v>
      </c>
      <c r="W456">
        <v>1</v>
      </c>
      <c r="X456">
        <v>0</v>
      </c>
    </row>
    <row r="457" spans="1:24" x14ac:dyDescent="0.25">
      <c r="A457">
        <v>27168419</v>
      </c>
      <c r="B457" t="s">
        <v>483</v>
      </c>
      <c r="C457" t="s">
        <v>484</v>
      </c>
      <c r="D457" t="s">
        <v>485</v>
      </c>
      <c r="E457" t="s">
        <v>119</v>
      </c>
      <c r="F457" t="s">
        <v>486</v>
      </c>
      <c r="G457" t="s">
        <v>487</v>
      </c>
      <c r="H457">
        <v>0</v>
      </c>
      <c r="I457">
        <v>4.22</v>
      </c>
      <c r="J457" t="s">
        <v>488</v>
      </c>
      <c r="K457" t="s">
        <v>140</v>
      </c>
      <c r="L457">
        <v>176</v>
      </c>
      <c r="M457">
        <v>2016</v>
      </c>
      <c r="N457">
        <v>2016</v>
      </c>
      <c r="O457" s="2"/>
      <c r="P457" s="2">
        <v>44716</v>
      </c>
      <c r="Q457" t="s">
        <v>132</v>
      </c>
      <c r="R457" t="s">
        <v>489</v>
      </c>
      <c r="S457" t="s">
        <v>132</v>
      </c>
      <c r="T457" t="s">
        <v>119</v>
      </c>
      <c r="U457" t="s">
        <v>119</v>
      </c>
      <c r="V457" t="s">
        <v>119</v>
      </c>
      <c r="W457">
        <v>0</v>
      </c>
      <c r="X457">
        <v>0</v>
      </c>
    </row>
    <row r="458" spans="1:24" x14ac:dyDescent="0.25">
      <c r="A458">
        <v>31705845</v>
      </c>
      <c r="B458" t="s">
        <v>2464</v>
      </c>
      <c r="C458" t="s">
        <v>2465</v>
      </c>
      <c r="D458" t="s">
        <v>2466</v>
      </c>
      <c r="E458" t="s">
        <v>119</v>
      </c>
      <c r="F458" t="s">
        <v>120</v>
      </c>
      <c r="G458" t="s">
        <v>120</v>
      </c>
      <c r="H458">
        <v>4</v>
      </c>
      <c r="I458">
        <v>4.24</v>
      </c>
      <c r="J458" t="s">
        <v>2467</v>
      </c>
      <c r="K458" t="s">
        <v>122</v>
      </c>
      <c r="L458">
        <v>289</v>
      </c>
      <c r="M458">
        <v>2016</v>
      </c>
      <c r="O458" s="2">
        <v>42939</v>
      </c>
      <c r="P458" s="2">
        <v>42904</v>
      </c>
      <c r="Q458" t="s">
        <v>2468</v>
      </c>
      <c r="R458" t="s">
        <v>2469</v>
      </c>
      <c r="S458" t="s">
        <v>125</v>
      </c>
      <c r="T458" t="s">
        <v>119</v>
      </c>
      <c r="U458" t="s">
        <v>119</v>
      </c>
      <c r="V458" t="s">
        <v>119</v>
      </c>
      <c r="W458">
        <v>1</v>
      </c>
      <c r="X458">
        <v>0</v>
      </c>
    </row>
    <row r="459" spans="1:24" x14ac:dyDescent="0.25">
      <c r="A459">
        <v>12030438</v>
      </c>
      <c r="B459" t="s">
        <v>2197</v>
      </c>
      <c r="C459" t="s">
        <v>2198</v>
      </c>
      <c r="D459" t="s">
        <v>2199</v>
      </c>
      <c r="E459" t="s">
        <v>2200</v>
      </c>
      <c r="F459" t="s">
        <v>120</v>
      </c>
      <c r="G459" t="s">
        <v>120</v>
      </c>
      <c r="H459">
        <v>3</v>
      </c>
      <c r="I459">
        <v>3.82</v>
      </c>
      <c r="J459" t="s">
        <v>1330</v>
      </c>
      <c r="K459" t="s">
        <v>122</v>
      </c>
      <c r="L459">
        <v>274</v>
      </c>
      <c r="M459">
        <v>2012</v>
      </c>
      <c r="N459">
        <v>2012</v>
      </c>
      <c r="O459" s="2">
        <v>43410</v>
      </c>
      <c r="P459" s="2">
        <v>43355</v>
      </c>
      <c r="Q459" t="s">
        <v>119</v>
      </c>
      <c r="R459" t="s">
        <v>119</v>
      </c>
      <c r="S459" t="s">
        <v>125</v>
      </c>
      <c r="T459" t="s">
        <v>119</v>
      </c>
      <c r="U459" t="s">
        <v>119</v>
      </c>
      <c r="V459" t="s">
        <v>119</v>
      </c>
      <c r="W459">
        <v>1</v>
      </c>
      <c r="X459">
        <v>0</v>
      </c>
    </row>
    <row r="460" spans="1:24" x14ac:dyDescent="0.25">
      <c r="A460">
        <v>43726564</v>
      </c>
      <c r="B460" t="s">
        <v>1575</v>
      </c>
      <c r="C460" t="s">
        <v>1576</v>
      </c>
      <c r="D460" t="s">
        <v>1577</v>
      </c>
      <c r="E460" t="s">
        <v>119</v>
      </c>
      <c r="F460" t="s">
        <v>1578</v>
      </c>
      <c r="G460" t="s">
        <v>1579</v>
      </c>
      <c r="H460">
        <v>0</v>
      </c>
      <c r="I460">
        <v>3.71</v>
      </c>
      <c r="J460" t="s">
        <v>1372</v>
      </c>
      <c r="K460" t="s">
        <v>147</v>
      </c>
      <c r="L460">
        <v>192</v>
      </c>
      <c r="M460">
        <v>2019</v>
      </c>
      <c r="N460">
        <v>2019</v>
      </c>
      <c r="O460" s="2"/>
      <c r="P460" s="2">
        <v>43949</v>
      </c>
      <c r="Q460" t="s">
        <v>132</v>
      </c>
      <c r="R460" t="s">
        <v>1580</v>
      </c>
      <c r="S460" t="s">
        <v>132</v>
      </c>
      <c r="T460" t="s">
        <v>119</v>
      </c>
      <c r="U460" t="s">
        <v>119</v>
      </c>
      <c r="V460" t="s">
        <v>119</v>
      </c>
      <c r="W460">
        <v>0</v>
      </c>
      <c r="X460">
        <v>0</v>
      </c>
    </row>
    <row r="461" spans="1:24" x14ac:dyDescent="0.25">
      <c r="A461">
        <v>35363231</v>
      </c>
      <c r="B461" t="s">
        <v>2399</v>
      </c>
      <c r="C461" t="s">
        <v>2400</v>
      </c>
      <c r="D461" t="s">
        <v>2401</v>
      </c>
      <c r="E461" t="s">
        <v>119</v>
      </c>
      <c r="F461" t="s">
        <v>2402</v>
      </c>
      <c r="G461" t="s">
        <v>2403</v>
      </c>
      <c r="H461">
        <v>0</v>
      </c>
      <c r="I461">
        <v>3.66</v>
      </c>
      <c r="J461" t="s">
        <v>2404</v>
      </c>
      <c r="K461" t="s">
        <v>140</v>
      </c>
      <c r="L461">
        <v>254</v>
      </c>
      <c r="M461">
        <v>2017</v>
      </c>
      <c r="O461" s="2"/>
      <c r="P461" s="2">
        <v>42949</v>
      </c>
      <c r="Q461" t="s">
        <v>1983</v>
      </c>
      <c r="R461" t="s">
        <v>2405</v>
      </c>
      <c r="S461" t="s">
        <v>132</v>
      </c>
      <c r="T461" t="s">
        <v>119</v>
      </c>
      <c r="U461" t="s">
        <v>119</v>
      </c>
      <c r="V461" t="s">
        <v>119</v>
      </c>
      <c r="W461">
        <v>0</v>
      </c>
      <c r="X461">
        <v>0</v>
      </c>
    </row>
    <row r="462" spans="1:24" x14ac:dyDescent="0.25">
      <c r="A462">
        <v>28257707</v>
      </c>
      <c r="B462" t="s">
        <v>2178</v>
      </c>
      <c r="C462" t="s">
        <v>1099</v>
      </c>
      <c r="D462" t="s">
        <v>1100</v>
      </c>
      <c r="E462" t="s">
        <v>119</v>
      </c>
      <c r="F462" t="s">
        <v>120</v>
      </c>
      <c r="G462" t="s">
        <v>120</v>
      </c>
      <c r="H462">
        <v>4</v>
      </c>
      <c r="I462">
        <v>3.91</v>
      </c>
      <c r="J462" t="s">
        <v>317</v>
      </c>
      <c r="K462" t="s">
        <v>140</v>
      </c>
      <c r="L462">
        <v>212</v>
      </c>
      <c r="M462">
        <v>2016</v>
      </c>
      <c r="N462">
        <v>2016</v>
      </c>
      <c r="O462" s="2">
        <v>43446</v>
      </c>
      <c r="P462" s="2">
        <v>43437</v>
      </c>
      <c r="Q462" t="s">
        <v>119</v>
      </c>
      <c r="R462" t="s">
        <v>119</v>
      </c>
      <c r="S462" t="s">
        <v>125</v>
      </c>
      <c r="T462" t="s">
        <v>119</v>
      </c>
      <c r="U462" t="s">
        <v>119</v>
      </c>
      <c r="V462" t="s">
        <v>119</v>
      </c>
      <c r="W462">
        <v>1</v>
      </c>
      <c r="X462">
        <v>0</v>
      </c>
    </row>
    <row r="463" spans="1:24" x14ac:dyDescent="0.25">
      <c r="A463">
        <v>23164946</v>
      </c>
      <c r="B463" t="s">
        <v>37</v>
      </c>
      <c r="C463" t="s">
        <v>40</v>
      </c>
      <c r="D463" t="s">
        <v>160</v>
      </c>
      <c r="E463" t="s">
        <v>119</v>
      </c>
      <c r="F463" t="s">
        <v>161</v>
      </c>
      <c r="G463" t="s">
        <v>162</v>
      </c>
      <c r="H463">
        <v>0</v>
      </c>
      <c r="I463">
        <v>4.08</v>
      </c>
      <c r="J463" t="s">
        <v>163</v>
      </c>
      <c r="K463" t="s">
        <v>140</v>
      </c>
      <c r="L463">
        <v>252</v>
      </c>
      <c r="M463">
        <v>2015</v>
      </c>
      <c r="N463">
        <v>2015</v>
      </c>
      <c r="O463" s="2"/>
      <c r="P463" s="2">
        <v>43925</v>
      </c>
      <c r="Q463" t="s">
        <v>164</v>
      </c>
      <c r="R463" t="s">
        <v>165</v>
      </c>
      <c r="S463" t="s">
        <v>132</v>
      </c>
      <c r="T463" t="s">
        <v>119</v>
      </c>
      <c r="U463" t="s">
        <v>119</v>
      </c>
      <c r="V463" t="s">
        <v>119</v>
      </c>
      <c r="W463">
        <v>0</v>
      </c>
      <c r="X463">
        <v>0</v>
      </c>
    </row>
    <row r="464" spans="1:24" x14ac:dyDescent="0.25">
      <c r="A464">
        <v>10821949</v>
      </c>
      <c r="B464" t="s">
        <v>2555</v>
      </c>
      <c r="C464" t="s">
        <v>2556</v>
      </c>
      <c r="D464" t="s">
        <v>2557</v>
      </c>
      <c r="E464" t="s">
        <v>119</v>
      </c>
      <c r="F464" t="s">
        <v>120</v>
      </c>
      <c r="G464" t="s">
        <v>120</v>
      </c>
      <c r="H464">
        <v>2</v>
      </c>
      <c r="I464">
        <v>3.84</v>
      </c>
      <c r="J464" t="s">
        <v>241</v>
      </c>
      <c r="K464" t="s">
        <v>122</v>
      </c>
      <c r="L464">
        <v>277</v>
      </c>
      <c r="M464">
        <v>2011</v>
      </c>
      <c r="N464">
        <v>2010</v>
      </c>
      <c r="O464" s="2">
        <v>42898</v>
      </c>
      <c r="P464" s="2">
        <v>42865</v>
      </c>
      <c r="Q464" t="s">
        <v>830</v>
      </c>
      <c r="R464" t="s">
        <v>2558</v>
      </c>
      <c r="S464" t="s">
        <v>125</v>
      </c>
      <c r="T464" t="s">
        <v>119</v>
      </c>
      <c r="U464" t="s">
        <v>119</v>
      </c>
      <c r="V464" t="s">
        <v>119</v>
      </c>
      <c r="W464">
        <v>1</v>
      </c>
      <c r="X464">
        <v>0</v>
      </c>
    </row>
    <row r="465" spans="1:24" x14ac:dyDescent="0.25">
      <c r="A465">
        <v>9356</v>
      </c>
      <c r="B465" t="s">
        <v>1794</v>
      </c>
      <c r="C465" t="s">
        <v>1795</v>
      </c>
      <c r="D465" t="s">
        <v>1796</v>
      </c>
      <c r="E465" t="s">
        <v>119</v>
      </c>
      <c r="F465" t="s">
        <v>1797</v>
      </c>
      <c r="G465" t="s">
        <v>1798</v>
      </c>
      <c r="H465">
        <v>4</v>
      </c>
      <c r="I465">
        <v>4</v>
      </c>
      <c r="J465" t="s">
        <v>1799</v>
      </c>
      <c r="K465" t="s">
        <v>140</v>
      </c>
      <c r="L465">
        <v>279</v>
      </c>
      <c r="M465">
        <v>2001</v>
      </c>
      <c r="N465">
        <v>2000</v>
      </c>
      <c r="O465" s="2">
        <v>42820</v>
      </c>
      <c r="P465" s="2">
        <v>42165</v>
      </c>
      <c r="Q465" t="s">
        <v>119</v>
      </c>
      <c r="R465" t="s">
        <v>119</v>
      </c>
      <c r="S465" t="s">
        <v>125</v>
      </c>
      <c r="T465" t="s">
        <v>119</v>
      </c>
      <c r="U465" t="s">
        <v>119</v>
      </c>
      <c r="V465" t="s">
        <v>119</v>
      </c>
      <c r="W465">
        <v>1</v>
      </c>
      <c r="X465">
        <v>0</v>
      </c>
    </row>
    <row r="466" spans="1:24" x14ac:dyDescent="0.25">
      <c r="A466">
        <v>26887738</v>
      </c>
      <c r="B466" t="s">
        <v>2559</v>
      </c>
      <c r="C466" t="s">
        <v>2560</v>
      </c>
      <c r="D466" t="s">
        <v>2561</v>
      </c>
      <c r="E466" t="s">
        <v>119</v>
      </c>
      <c r="F466" t="s">
        <v>2562</v>
      </c>
      <c r="G466" t="s">
        <v>2563</v>
      </c>
      <c r="H466">
        <v>0</v>
      </c>
      <c r="I466">
        <v>4.13</v>
      </c>
      <c r="J466" t="s">
        <v>2564</v>
      </c>
      <c r="K466" t="s">
        <v>147</v>
      </c>
      <c r="L466">
        <v>448</v>
      </c>
      <c r="M466">
        <v>2015</v>
      </c>
      <c r="N466">
        <v>2015</v>
      </c>
      <c r="O466" s="2"/>
      <c r="P466" s="2">
        <v>42891</v>
      </c>
      <c r="Q466" t="s">
        <v>132</v>
      </c>
      <c r="R466" t="s">
        <v>2565</v>
      </c>
      <c r="S466" t="s">
        <v>132</v>
      </c>
      <c r="T466" t="s">
        <v>119</v>
      </c>
      <c r="U466" t="s">
        <v>119</v>
      </c>
      <c r="V466" t="s">
        <v>119</v>
      </c>
      <c r="W466">
        <v>0</v>
      </c>
      <c r="X466">
        <v>0</v>
      </c>
    </row>
    <row r="467" spans="1:24" x14ac:dyDescent="0.25">
      <c r="A467">
        <v>25266259</v>
      </c>
      <c r="B467" t="s">
        <v>932</v>
      </c>
      <c r="C467" t="s">
        <v>933</v>
      </c>
      <c r="D467" t="s">
        <v>934</v>
      </c>
      <c r="E467" t="s">
        <v>935</v>
      </c>
      <c r="F467" t="s">
        <v>120</v>
      </c>
      <c r="G467" t="s">
        <v>120</v>
      </c>
      <c r="H467">
        <v>3</v>
      </c>
      <c r="I467">
        <v>3.78</v>
      </c>
      <c r="J467" t="s">
        <v>936</v>
      </c>
      <c r="K467" t="s">
        <v>122</v>
      </c>
      <c r="L467">
        <v>169</v>
      </c>
      <c r="M467">
        <v>2015</v>
      </c>
      <c r="N467">
        <v>2015</v>
      </c>
      <c r="O467" s="2">
        <v>44418</v>
      </c>
      <c r="P467" s="2">
        <v>44412</v>
      </c>
      <c r="Q467" t="s">
        <v>119</v>
      </c>
      <c r="R467" t="s">
        <v>119</v>
      </c>
      <c r="S467" t="s">
        <v>125</v>
      </c>
      <c r="T467" t="s">
        <v>119</v>
      </c>
      <c r="U467" t="s">
        <v>119</v>
      </c>
      <c r="V467" t="s">
        <v>119</v>
      </c>
      <c r="W467">
        <v>1</v>
      </c>
      <c r="X467">
        <v>0</v>
      </c>
    </row>
    <row r="468" spans="1:24" x14ac:dyDescent="0.25">
      <c r="A468">
        <v>2095</v>
      </c>
      <c r="B468" t="s">
        <v>1380</v>
      </c>
      <c r="C468" t="s">
        <v>46</v>
      </c>
      <c r="D468" t="s">
        <v>308</v>
      </c>
      <c r="E468" t="s">
        <v>119</v>
      </c>
      <c r="F468" t="s">
        <v>1381</v>
      </c>
      <c r="G468" t="s">
        <v>1382</v>
      </c>
      <c r="H468">
        <v>4</v>
      </c>
      <c r="I468">
        <v>4.18</v>
      </c>
      <c r="J468" t="s">
        <v>176</v>
      </c>
      <c r="K468" t="s">
        <v>147</v>
      </c>
      <c r="L468">
        <v>216</v>
      </c>
      <c r="M468">
        <v>2001</v>
      </c>
      <c r="N468">
        <v>2001</v>
      </c>
      <c r="O468" s="2"/>
      <c r="P468" s="2">
        <v>44069</v>
      </c>
      <c r="Q468" t="s">
        <v>119</v>
      </c>
      <c r="R468" t="s">
        <v>119</v>
      </c>
      <c r="S468" t="s">
        <v>125</v>
      </c>
      <c r="T468" t="s">
        <v>119</v>
      </c>
      <c r="U468" t="s">
        <v>119</v>
      </c>
      <c r="V468" t="s">
        <v>119</v>
      </c>
      <c r="W468">
        <v>1</v>
      </c>
      <c r="X468">
        <v>0</v>
      </c>
    </row>
    <row r="469" spans="1:24" x14ac:dyDescent="0.25">
      <c r="A469">
        <v>1963638</v>
      </c>
      <c r="B469" t="s">
        <v>1278</v>
      </c>
      <c r="C469" t="s">
        <v>40</v>
      </c>
      <c r="D469" t="s">
        <v>160</v>
      </c>
      <c r="E469" t="s">
        <v>119</v>
      </c>
      <c r="F469" t="s">
        <v>1279</v>
      </c>
      <c r="G469" t="s">
        <v>1280</v>
      </c>
      <c r="H469">
        <v>0</v>
      </c>
      <c r="I469">
        <v>4.22</v>
      </c>
      <c r="J469" t="s">
        <v>15</v>
      </c>
      <c r="K469" t="s">
        <v>140</v>
      </c>
      <c r="L469">
        <v>186</v>
      </c>
      <c r="M469">
        <v>2007</v>
      </c>
      <c r="N469">
        <v>2007</v>
      </c>
      <c r="O469" s="2"/>
      <c r="P469" s="2">
        <v>44142</v>
      </c>
      <c r="Q469" t="s">
        <v>132</v>
      </c>
      <c r="R469" t="s">
        <v>1281</v>
      </c>
      <c r="S469" t="s">
        <v>132</v>
      </c>
      <c r="T469" t="s">
        <v>119</v>
      </c>
      <c r="U469" t="s">
        <v>119</v>
      </c>
      <c r="V469" t="s">
        <v>119</v>
      </c>
      <c r="W469">
        <v>0</v>
      </c>
      <c r="X469">
        <v>0</v>
      </c>
    </row>
    <row r="470" spans="1:24" x14ac:dyDescent="0.25">
      <c r="A470">
        <v>26109411</v>
      </c>
      <c r="B470" t="s">
        <v>2031</v>
      </c>
      <c r="C470" t="s">
        <v>90</v>
      </c>
      <c r="D470" t="s">
        <v>224</v>
      </c>
      <c r="E470" t="s">
        <v>119</v>
      </c>
      <c r="F470" t="s">
        <v>2032</v>
      </c>
      <c r="G470" t="s">
        <v>2033</v>
      </c>
      <c r="H470">
        <v>0</v>
      </c>
      <c r="I470">
        <v>4.07</v>
      </c>
      <c r="J470" t="s">
        <v>225</v>
      </c>
      <c r="K470" t="s">
        <v>140</v>
      </c>
      <c r="L470">
        <v>304</v>
      </c>
      <c r="M470">
        <v>2016</v>
      </c>
      <c r="N470">
        <v>2012</v>
      </c>
      <c r="O470" s="2"/>
      <c r="P470" s="2">
        <v>43543</v>
      </c>
      <c r="Q470" t="s">
        <v>132</v>
      </c>
      <c r="R470" t="s">
        <v>2034</v>
      </c>
      <c r="S470" t="s">
        <v>132</v>
      </c>
      <c r="T470" t="s">
        <v>119</v>
      </c>
      <c r="U470" t="s">
        <v>119</v>
      </c>
      <c r="V470" t="s">
        <v>119</v>
      </c>
      <c r="W470">
        <v>0</v>
      </c>
      <c r="X470">
        <v>0</v>
      </c>
    </row>
    <row r="471" spans="1:24" x14ac:dyDescent="0.25">
      <c r="A471">
        <v>29905580</v>
      </c>
      <c r="B471" t="s">
        <v>2487</v>
      </c>
      <c r="C471" t="s">
        <v>1178</v>
      </c>
      <c r="D471" t="s">
        <v>1179</v>
      </c>
      <c r="E471" t="s">
        <v>119</v>
      </c>
      <c r="F471" t="s">
        <v>2488</v>
      </c>
      <c r="G471" t="s">
        <v>2489</v>
      </c>
      <c r="H471">
        <v>0</v>
      </c>
      <c r="I471">
        <v>4.04</v>
      </c>
      <c r="J471" t="s">
        <v>417</v>
      </c>
      <c r="K471" t="s">
        <v>140</v>
      </c>
      <c r="L471">
        <v>384</v>
      </c>
      <c r="M471">
        <v>2017</v>
      </c>
      <c r="N471">
        <v>2017</v>
      </c>
      <c r="O471" s="2"/>
      <c r="P471" s="2">
        <v>42919</v>
      </c>
      <c r="Q471" t="s">
        <v>132</v>
      </c>
      <c r="R471" t="s">
        <v>2490</v>
      </c>
      <c r="S471" t="s">
        <v>132</v>
      </c>
      <c r="T471" t="s">
        <v>119</v>
      </c>
      <c r="U471" t="s">
        <v>119</v>
      </c>
      <c r="V471" t="s">
        <v>119</v>
      </c>
      <c r="W471">
        <v>0</v>
      </c>
      <c r="X471">
        <v>0</v>
      </c>
    </row>
    <row r="472" spans="1:24" x14ac:dyDescent="0.25">
      <c r="A472">
        <v>4006</v>
      </c>
      <c r="B472" t="s">
        <v>1568</v>
      </c>
      <c r="C472" t="s">
        <v>1569</v>
      </c>
      <c r="D472" t="s">
        <v>1570</v>
      </c>
      <c r="E472" t="s">
        <v>1571</v>
      </c>
      <c r="F472" t="s">
        <v>1572</v>
      </c>
      <c r="G472" t="s">
        <v>1573</v>
      </c>
      <c r="H472">
        <v>3</v>
      </c>
      <c r="I472">
        <v>3.32</v>
      </c>
      <c r="J472" t="s">
        <v>1574</v>
      </c>
      <c r="K472" t="s">
        <v>140</v>
      </c>
      <c r="L472">
        <v>243</v>
      </c>
      <c r="M472">
        <v>1999</v>
      </c>
      <c r="N472">
        <v>1988</v>
      </c>
      <c r="O472" s="2"/>
      <c r="P472" s="2">
        <v>43953</v>
      </c>
      <c r="Q472" t="s">
        <v>119</v>
      </c>
      <c r="R472" t="s">
        <v>119</v>
      </c>
      <c r="S472" t="s">
        <v>125</v>
      </c>
      <c r="T472" t="s">
        <v>119</v>
      </c>
      <c r="U472" t="s">
        <v>119</v>
      </c>
      <c r="V472" t="s">
        <v>119</v>
      </c>
      <c r="W472">
        <v>1</v>
      </c>
      <c r="X472">
        <v>0</v>
      </c>
    </row>
    <row r="473" spans="1:24" x14ac:dyDescent="0.25">
      <c r="A473">
        <v>52581582</v>
      </c>
      <c r="B473" t="s">
        <v>1230</v>
      </c>
      <c r="C473" t="s">
        <v>1231</v>
      </c>
      <c r="D473" t="s">
        <v>1232</v>
      </c>
      <c r="E473" t="s">
        <v>119</v>
      </c>
      <c r="F473" t="s">
        <v>120</v>
      </c>
      <c r="G473" t="s">
        <v>120</v>
      </c>
      <c r="H473">
        <v>0</v>
      </c>
      <c r="I473">
        <v>4.24</v>
      </c>
      <c r="J473" t="s">
        <v>1233</v>
      </c>
      <c r="K473" t="s">
        <v>122</v>
      </c>
      <c r="L473">
        <v>238</v>
      </c>
      <c r="M473">
        <v>2020</v>
      </c>
      <c r="N473">
        <v>2020</v>
      </c>
      <c r="O473" s="2"/>
      <c r="P473" s="2">
        <v>44167</v>
      </c>
      <c r="Q473" t="s">
        <v>132</v>
      </c>
      <c r="R473" t="s">
        <v>1234</v>
      </c>
      <c r="S473" t="s">
        <v>132</v>
      </c>
      <c r="T473" t="s">
        <v>119</v>
      </c>
      <c r="U473" t="s">
        <v>119</v>
      </c>
      <c r="V473" t="s">
        <v>119</v>
      </c>
      <c r="W473">
        <v>0</v>
      </c>
      <c r="X473">
        <v>0</v>
      </c>
    </row>
    <row r="474" spans="1:24" x14ac:dyDescent="0.25">
      <c r="A474">
        <v>1319</v>
      </c>
      <c r="B474" t="s">
        <v>2673</v>
      </c>
      <c r="C474" t="s">
        <v>2674</v>
      </c>
      <c r="D474" t="s">
        <v>2675</v>
      </c>
      <c r="E474" t="s">
        <v>2676</v>
      </c>
      <c r="F474" t="s">
        <v>2677</v>
      </c>
      <c r="G474" t="s">
        <v>2678</v>
      </c>
      <c r="H474">
        <v>0</v>
      </c>
      <c r="I474">
        <v>3.99</v>
      </c>
      <c r="J474" t="s">
        <v>2679</v>
      </c>
      <c r="K474" t="s">
        <v>140</v>
      </c>
      <c r="L474">
        <v>168</v>
      </c>
      <c r="M474">
        <v>2003</v>
      </c>
      <c r="N474">
        <v>2002</v>
      </c>
      <c r="O474" s="2"/>
      <c r="P474" s="2">
        <v>42625</v>
      </c>
      <c r="Q474" t="s">
        <v>132</v>
      </c>
      <c r="R474" t="s">
        <v>2680</v>
      </c>
      <c r="S474" t="s">
        <v>132</v>
      </c>
      <c r="T474" t="s">
        <v>119</v>
      </c>
      <c r="U474" t="s">
        <v>119</v>
      </c>
      <c r="V474" t="s">
        <v>119</v>
      </c>
      <c r="W474">
        <v>0</v>
      </c>
      <c r="X474">
        <v>0</v>
      </c>
    </row>
    <row r="475" spans="1:24" x14ac:dyDescent="0.25">
      <c r="A475">
        <v>79424</v>
      </c>
      <c r="B475" t="s">
        <v>1686</v>
      </c>
      <c r="C475" t="s">
        <v>1687</v>
      </c>
      <c r="D475" t="s">
        <v>1688</v>
      </c>
      <c r="E475" t="s">
        <v>119</v>
      </c>
      <c r="F475" t="s">
        <v>1689</v>
      </c>
      <c r="G475" t="s">
        <v>1690</v>
      </c>
      <c r="H475">
        <v>0</v>
      </c>
      <c r="I475">
        <v>4.0599999999999996</v>
      </c>
      <c r="J475" t="s">
        <v>597</v>
      </c>
      <c r="K475" t="s">
        <v>140</v>
      </c>
      <c r="L475">
        <v>202</v>
      </c>
      <c r="M475">
        <v>2004</v>
      </c>
      <c r="N475">
        <v>1997</v>
      </c>
      <c r="O475" s="2"/>
      <c r="P475" s="2">
        <v>43862</v>
      </c>
      <c r="Q475" t="s">
        <v>132</v>
      </c>
      <c r="R475" t="s">
        <v>1691</v>
      </c>
      <c r="S475" t="s">
        <v>132</v>
      </c>
      <c r="T475" t="s">
        <v>119</v>
      </c>
      <c r="U475" t="s">
        <v>119</v>
      </c>
      <c r="V475" t="s">
        <v>119</v>
      </c>
      <c r="W475">
        <v>0</v>
      </c>
      <c r="X475">
        <v>0</v>
      </c>
    </row>
    <row r="476" spans="1:24" x14ac:dyDescent="0.25">
      <c r="A476">
        <v>10865206</v>
      </c>
      <c r="B476" t="s">
        <v>1681</v>
      </c>
      <c r="C476" t="s">
        <v>90</v>
      </c>
      <c r="D476" t="s">
        <v>224</v>
      </c>
      <c r="E476" t="s">
        <v>119</v>
      </c>
      <c r="F476" t="s">
        <v>1682</v>
      </c>
      <c r="G476" t="s">
        <v>1683</v>
      </c>
      <c r="H476">
        <v>5</v>
      </c>
      <c r="I476">
        <v>4.13</v>
      </c>
      <c r="J476" t="s">
        <v>225</v>
      </c>
      <c r="K476" t="s">
        <v>147</v>
      </c>
      <c r="L476">
        <v>275</v>
      </c>
      <c r="M476">
        <v>2011</v>
      </c>
      <c r="N476">
        <v>2011</v>
      </c>
      <c r="O476" s="2">
        <v>43864</v>
      </c>
      <c r="P476" s="2">
        <v>43829</v>
      </c>
      <c r="Q476" t="s">
        <v>1684</v>
      </c>
      <c r="R476" t="s">
        <v>1685</v>
      </c>
      <c r="S476" t="s">
        <v>125</v>
      </c>
      <c r="T476" t="s">
        <v>119</v>
      </c>
      <c r="U476" t="s">
        <v>119</v>
      </c>
      <c r="V476" t="s">
        <v>119</v>
      </c>
      <c r="W476">
        <v>1</v>
      </c>
      <c r="X476">
        <v>0</v>
      </c>
    </row>
    <row r="477" spans="1:24" x14ac:dyDescent="0.25">
      <c r="A477">
        <v>11275</v>
      </c>
      <c r="B477" t="s">
        <v>2833</v>
      </c>
      <c r="C477" t="s">
        <v>915</v>
      </c>
      <c r="D477" t="s">
        <v>916</v>
      </c>
      <c r="E477" t="s">
        <v>2772</v>
      </c>
      <c r="F477" t="s">
        <v>2834</v>
      </c>
      <c r="G477" t="s">
        <v>2835</v>
      </c>
      <c r="H477">
        <v>5</v>
      </c>
      <c r="I477">
        <v>4.1500000000000004</v>
      </c>
      <c r="J477" t="s">
        <v>693</v>
      </c>
      <c r="K477" t="s">
        <v>140</v>
      </c>
      <c r="L477">
        <v>607</v>
      </c>
      <c r="M477">
        <v>1997</v>
      </c>
      <c r="N477">
        <v>1994</v>
      </c>
      <c r="O477" s="2"/>
      <c r="P477" s="2">
        <v>42307</v>
      </c>
      <c r="Q477" t="s">
        <v>609</v>
      </c>
      <c r="R477" t="s">
        <v>2836</v>
      </c>
      <c r="S477" t="s">
        <v>125</v>
      </c>
      <c r="T477" t="s">
        <v>119</v>
      </c>
      <c r="U477" t="s">
        <v>119</v>
      </c>
      <c r="V477" t="s">
        <v>119</v>
      </c>
      <c r="W477">
        <v>1</v>
      </c>
      <c r="X477">
        <v>0</v>
      </c>
    </row>
    <row r="478" spans="1:24" x14ac:dyDescent="0.25">
      <c r="A478">
        <v>8257134</v>
      </c>
      <c r="B478" t="s">
        <v>1963</v>
      </c>
      <c r="C478" t="s">
        <v>9</v>
      </c>
      <c r="D478" t="s">
        <v>212</v>
      </c>
      <c r="E478" t="s">
        <v>119</v>
      </c>
      <c r="F478" t="s">
        <v>120</v>
      </c>
      <c r="G478" t="s">
        <v>120</v>
      </c>
      <c r="H478">
        <v>0</v>
      </c>
      <c r="I478">
        <v>4.3099999999999996</v>
      </c>
      <c r="J478" t="s">
        <v>119</v>
      </c>
      <c r="K478" t="s">
        <v>122</v>
      </c>
      <c r="L478">
        <v>448</v>
      </c>
      <c r="N478">
        <v>2008</v>
      </c>
      <c r="O478" s="2"/>
      <c r="P478" s="2">
        <v>43599</v>
      </c>
      <c r="Q478" t="s">
        <v>132</v>
      </c>
      <c r="R478" t="s">
        <v>1964</v>
      </c>
      <c r="S478" t="s">
        <v>132</v>
      </c>
      <c r="T478" t="s">
        <v>119</v>
      </c>
      <c r="U478" t="s">
        <v>119</v>
      </c>
      <c r="V478" t="s">
        <v>119</v>
      </c>
      <c r="W478">
        <v>0</v>
      </c>
      <c r="X478">
        <v>0</v>
      </c>
    </row>
    <row r="479" spans="1:24" x14ac:dyDescent="0.25">
      <c r="A479">
        <v>7069</v>
      </c>
      <c r="B479" t="s">
        <v>289</v>
      </c>
      <c r="C479" t="s">
        <v>285</v>
      </c>
      <c r="D479" t="s">
        <v>286</v>
      </c>
      <c r="E479" t="s">
        <v>119</v>
      </c>
      <c r="F479" t="s">
        <v>290</v>
      </c>
      <c r="G479" t="s">
        <v>291</v>
      </c>
      <c r="H479">
        <v>5</v>
      </c>
      <c r="I479">
        <v>4.0999999999999996</v>
      </c>
      <c r="J479" t="s">
        <v>231</v>
      </c>
      <c r="K479" t="s">
        <v>147</v>
      </c>
      <c r="L479">
        <v>610</v>
      </c>
      <c r="M479">
        <v>1999</v>
      </c>
      <c r="N479">
        <v>1978</v>
      </c>
      <c r="O479" s="2"/>
      <c r="P479" s="2">
        <v>42629</v>
      </c>
      <c r="Q479" t="s">
        <v>287</v>
      </c>
      <c r="R479" t="s">
        <v>292</v>
      </c>
      <c r="S479" t="s">
        <v>125</v>
      </c>
      <c r="T479" t="s">
        <v>119</v>
      </c>
      <c r="U479" t="s">
        <v>119</v>
      </c>
      <c r="V479" t="s">
        <v>119</v>
      </c>
      <c r="W479">
        <v>1</v>
      </c>
      <c r="X479">
        <v>0</v>
      </c>
    </row>
    <row r="480" spans="1:24" x14ac:dyDescent="0.25">
      <c r="A480">
        <v>55539565</v>
      </c>
      <c r="B480" t="s">
        <v>1115</v>
      </c>
      <c r="C480" t="s">
        <v>1116</v>
      </c>
      <c r="D480" t="s">
        <v>1117</v>
      </c>
      <c r="E480" t="s">
        <v>119</v>
      </c>
      <c r="F480" t="s">
        <v>1118</v>
      </c>
      <c r="G480" t="s">
        <v>1119</v>
      </c>
      <c r="H480">
        <v>0</v>
      </c>
      <c r="I480">
        <v>4.24</v>
      </c>
      <c r="J480" t="s">
        <v>1120</v>
      </c>
      <c r="K480" t="s">
        <v>147</v>
      </c>
      <c r="L480">
        <v>307</v>
      </c>
      <c r="M480">
        <v>2021</v>
      </c>
      <c r="N480">
        <v>2021</v>
      </c>
      <c r="O480" s="2"/>
      <c r="P480" s="2">
        <v>44201</v>
      </c>
      <c r="Q480" t="s">
        <v>132</v>
      </c>
      <c r="R480" t="s">
        <v>1121</v>
      </c>
      <c r="S480" t="s">
        <v>132</v>
      </c>
      <c r="T480" t="s">
        <v>119</v>
      </c>
      <c r="U480" t="s">
        <v>119</v>
      </c>
      <c r="V480" t="s">
        <v>119</v>
      </c>
      <c r="W480">
        <v>0</v>
      </c>
      <c r="X480">
        <v>0</v>
      </c>
    </row>
    <row r="481" spans="1:24" x14ac:dyDescent="0.25">
      <c r="A481">
        <v>18897256</v>
      </c>
      <c r="B481" t="s">
        <v>116</v>
      </c>
      <c r="C481" t="s">
        <v>117</v>
      </c>
      <c r="D481" t="s">
        <v>118</v>
      </c>
      <c r="E481" t="s">
        <v>119</v>
      </c>
      <c r="F481" t="s">
        <v>120</v>
      </c>
      <c r="G481" t="s">
        <v>120</v>
      </c>
      <c r="H481">
        <v>2</v>
      </c>
      <c r="I481">
        <v>4.18</v>
      </c>
      <c r="J481" t="s">
        <v>121</v>
      </c>
      <c r="K481" t="s">
        <v>122</v>
      </c>
      <c r="L481">
        <v>196</v>
      </c>
      <c r="M481">
        <v>2012</v>
      </c>
      <c r="N481">
        <v>1937</v>
      </c>
      <c r="O481" s="2">
        <v>42904</v>
      </c>
      <c r="P481" s="2">
        <v>42901</v>
      </c>
      <c r="Q481" t="s">
        <v>123</v>
      </c>
      <c r="R481" t="s">
        <v>124</v>
      </c>
      <c r="S481" t="s">
        <v>125</v>
      </c>
      <c r="T481" t="s">
        <v>126</v>
      </c>
      <c r="U481" t="s">
        <v>119</v>
      </c>
      <c r="V481" t="s">
        <v>119</v>
      </c>
      <c r="W481">
        <v>1</v>
      </c>
      <c r="X481">
        <v>1</v>
      </c>
    </row>
    <row r="482" spans="1:24" x14ac:dyDescent="0.25">
      <c r="A482">
        <v>17331349</v>
      </c>
      <c r="B482" t="s">
        <v>2714</v>
      </c>
      <c r="C482" t="s">
        <v>2715</v>
      </c>
      <c r="D482" t="s">
        <v>2716</v>
      </c>
      <c r="E482" t="s">
        <v>2717</v>
      </c>
      <c r="F482" t="s">
        <v>2718</v>
      </c>
      <c r="G482" t="s">
        <v>2719</v>
      </c>
      <c r="H482">
        <v>4</v>
      </c>
      <c r="I482">
        <v>3.85</v>
      </c>
      <c r="J482" t="s">
        <v>602</v>
      </c>
      <c r="K482" t="s">
        <v>273</v>
      </c>
      <c r="L482">
        <v>304</v>
      </c>
      <c r="M482">
        <v>2014</v>
      </c>
      <c r="N482">
        <v>2014</v>
      </c>
      <c r="O482" s="2">
        <v>42529</v>
      </c>
      <c r="P482" s="2">
        <v>42471</v>
      </c>
      <c r="Q482" t="s">
        <v>2322</v>
      </c>
      <c r="R482" t="s">
        <v>2720</v>
      </c>
      <c r="S482" t="s">
        <v>125</v>
      </c>
      <c r="T482" t="s">
        <v>119</v>
      </c>
      <c r="U482" t="s">
        <v>119</v>
      </c>
      <c r="V482" t="s">
        <v>119</v>
      </c>
      <c r="W482">
        <v>1</v>
      </c>
      <c r="X482">
        <v>0</v>
      </c>
    </row>
    <row r="483" spans="1:24" x14ac:dyDescent="0.25">
      <c r="A483">
        <v>11468377</v>
      </c>
      <c r="B483" t="s">
        <v>2749</v>
      </c>
      <c r="C483" t="s">
        <v>955</v>
      </c>
      <c r="D483" t="s">
        <v>956</v>
      </c>
      <c r="E483" t="s">
        <v>119</v>
      </c>
      <c r="F483" t="s">
        <v>2750</v>
      </c>
      <c r="G483" t="s">
        <v>2751</v>
      </c>
      <c r="H483">
        <v>5</v>
      </c>
      <c r="I483">
        <v>4.18</v>
      </c>
      <c r="J483" t="s">
        <v>245</v>
      </c>
      <c r="K483" t="s">
        <v>147</v>
      </c>
      <c r="L483">
        <v>499</v>
      </c>
      <c r="M483">
        <v>2011</v>
      </c>
      <c r="N483">
        <v>2011</v>
      </c>
      <c r="O483" s="2"/>
      <c r="P483" s="2">
        <v>42165</v>
      </c>
      <c r="Q483" t="s">
        <v>2322</v>
      </c>
      <c r="R483" t="s">
        <v>2752</v>
      </c>
      <c r="S483" t="s">
        <v>125</v>
      </c>
      <c r="T483" t="s">
        <v>119</v>
      </c>
      <c r="U483" t="s">
        <v>119</v>
      </c>
      <c r="V483" t="s">
        <v>119</v>
      </c>
      <c r="W483">
        <v>1</v>
      </c>
      <c r="X483">
        <v>0</v>
      </c>
    </row>
    <row r="484" spans="1:24" x14ac:dyDescent="0.25">
      <c r="A484">
        <v>432223</v>
      </c>
      <c r="B484" t="s">
        <v>1268</v>
      </c>
      <c r="C484" t="s">
        <v>1269</v>
      </c>
      <c r="D484" t="s">
        <v>1270</v>
      </c>
      <c r="E484" t="s">
        <v>119</v>
      </c>
      <c r="F484" t="s">
        <v>1271</v>
      </c>
      <c r="G484" t="s">
        <v>1272</v>
      </c>
      <c r="H484">
        <v>0</v>
      </c>
      <c r="I484">
        <v>4.28</v>
      </c>
      <c r="J484" t="s">
        <v>436</v>
      </c>
      <c r="K484" t="s">
        <v>140</v>
      </c>
      <c r="L484">
        <v>158</v>
      </c>
      <c r="M484">
        <v>1973</v>
      </c>
      <c r="N484">
        <v>1960</v>
      </c>
      <c r="O484" s="2"/>
      <c r="P484" s="2">
        <v>44142</v>
      </c>
      <c r="Q484" t="s">
        <v>132</v>
      </c>
      <c r="R484" t="s">
        <v>1273</v>
      </c>
      <c r="S484" t="s">
        <v>132</v>
      </c>
      <c r="T484" t="s">
        <v>119</v>
      </c>
      <c r="U484" t="s">
        <v>119</v>
      </c>
      <c r="V484" t="s">
        <v>119</v>
      </c>
      <c r="W484">
        <v>0</v>
      </c>
      <c r="X484">
        <v>0</v>
      </c>
    </row>
    <row r="485" spans="1:24" x14ac:dyDescent="0.25">
      <c r="A485">
        <v>5986375</v>
      </c>
      <c r="B485" t="s">
        <v>295</v>
      </c>
      <c r="C485" t="s">
        <v>296</v>
      </c>
      <c r="D485" t="s">
        <v>297</v>
      </c>
      <c r="E485" t="s">
        <v>119</v>
      </c>
      <c r="F485" t="s">
        <v>298</v>
      </c>
      <c r="G485" t="s">
        <v>299</v>
      </c>
      <c r="H485">
        <v>4</v>
      </c>
      <c r="I485">
        <v>4.5</v>
      </c>
      <c r="J485" t="s">
        <v>300</v>
      </c>
      <c r="K485" t="s">
        <v>147</v>
      </c>
      <c r="L485">
        <v>138</v>
      </c>
      <c r="M485">
        <v>2009</v>
      </c>
      <c r="N485">
        <v>2009</v>
      </c>
      <c r="O485" s="2"/>
      <c r="P485" s="2">
        <v>44893</v>
      </c>
      <c r="Q485" t="s">
        <v>119</v>
      </c>
      <c r="R485" t="s">
        <v>119</v>
      </c>
      <c r="S485" t="s">
        <v>125</v>
      </c>
      <c r="T485" t="s">
        <v>119</v>
      </c>
      <c r="U485" t="s">
        <v>119</v>
      </c>
      <c r="V485" t="s">
        <v>119</v>
      </c>
      <c r="W485">
        <v>1</v>
      </c>
      <c r="X485">
        <v>0</v>
      </c>
    </row>
    <row r="486" spans="1:24" x14ac:dyDescent="0.25">
      <c r="A486">
        <v>43261127</v>
      </c>
      <c r="B486" t="s">
        <v>746</v>
      </c>
      <c r="C486" t="s">
        <v>747</v>
      </c>
      <c r="D486" t="s">
        <v>748</v>
      </c>
      <c r="E486" t="s">
        <v>119</v>
      </c>
      <c r="F486" t="s">
        <v>749</v>
      </c>
      <c r="G486" t="s">
        <v>750</v>
      </c>
      <c r="H486">
        <v>0</v>
      </c>
      <c r="I486">
        <v>4.16</v>
      </c>
      <c r="J486" t="s">
        <v>751</v>
      </c>
      <c r="K486" t="s">
        <v>147</v>
      </c>
      <c r="L486">
        <v>320</v>
      </c>
      <c r="M486">
        <v>2020</v>
      </c>
      <c r="N486">
        <v>2019</v>
      </c>
      <c r="O486" s="2"/>
      <c r="P486" s="2">
        <v>44563</v>
      </c>
      <c r="Q486" t="s">
        <v>132</v>
      </c>
      <c r="R486" t="s">
        <v>752</v>
      </c>
      <c r="S486" t="s">
        <v>132</v>
      </c>
      <c r="T486" t="s">
        <v>119</v>
      </c>
      <c r="U486" t="s">
        <v>119</v>
      </c>
      <c r="V486" t="s">
        <v>119</v>
      </c>
      <c r="W486">
        <v>0</v>
      </c>
      <c r="X486">
        <v>0</v>
      </c>
    </row>
    <row r="487" spans="1:24" x14ac:dyDescent="0.25">
      <c r="A487">
        <v>25490</v>
      </c>
      <c r="B487" t="s">
        <v>884</v>
      </c>
      <c r="C487" t="s">
        <v>885</v>
      </c>
      <c r="D487" t="s">
        <v>886</v>
      </c>
      <c r="E487" t="s">
        <v>119</v>
      </c>
      <c r="F487" t="s">
        <v>887</v>
      </c>
      <c r="G487" t="s">
        <v>888</v>
      </c>
      <c r="H487">
        <v>0</v>
      </c>
      <c r="I487">
        <v>4.1900000000000004</v>
      </c>
      <c r="J487" t="s">
        <v>889</v>
      </c>
      <c r="K487" t="s">
        <v>140</v>
      </c>
      <c r="L487">
        <v>182</v>
      </c>
      <c r="M487">
        <v>2005</v>
      </c>
      <c r="N487">
        <v>1976</v>
      </c>
      <c r="O487" s="2"/>
      <c r="P487" s="2">
        <v>44439</v>
      </c>
      <c r="Q487" t="s">
        <v>132</v>
      </c>
      <c r="R487" t="s">
        <v>890</v>
      </c>
      <c r="S487" t="s">
        <v>132</v>
      </c>
      <c r="T487" t="s">
        <v>119</v>
      </c>
      <c r="U487" t="s">
        <v>119</v>
      </c>
      <c r="V487" t="s">
        <v>119</v>
      </c>
      <c r="W487">
        <v>0</v>
      </c>
      <c r="X487">
        <v>0</v>
      </c>
    </row>
    <row r="488" spans="1:24" x14ac:dyDescent="0.25">
      <c r="A488">
        <v>31823677</v>
      </c>
      <c r="B488" t="s">
        <v>2576</v>
      </c>
      <c r="C488" t="s">
        <v>2577</v>
      </c>
      <c r="D488" t="s">
        <v>2578</v>
      </c>
      <c r="E488" t="s">
        <v>2579</v>
      </c>
      <c r="F488" t="s">
        <v>120</v>
      </c>
      <c r="G488" t="s">
        <v>120</v>
      </c>
      <c r="H488">
        <v>0</v>
      </c>
      <c r="I488">
        <v>4.0999999999999996</v>
      </c>
      <c r="J488" t="s">
        <v>457</v>
      </c>
      <c r="K488" t="s">
        <v>122</v>
      </c>
      <c r="L488">
        <v>707</v>
      </c>
      <c r="M488">
        <v>2016</v>
      </c>
      <c r="N488">
        <v>2016</v>
      </c>
      <c r="O488" s="2"/>
      <c r="P488" s="2">
        <v>42875</v>
      </c>
      <c r="Q488" t="s">
        <v>132</v>
      </c>
      <c r="R488" t="s">
        <v>2580</v>
      </c>
      <c r="S488" t="s">
        <v>132</v>
      </c>
      <c r="T488" t="s">
        <v>119</v>
      </c>
      <c r="U488" t="s">
        <v>119</v>
      </c>
      <c r="V488" t="s">
        <v>119</v>
      </c>
      <c r="W488">
        <v>0</v>
      </c>
      <c r="X488">
        <v>0</v>
      </c>
    </row>
    <row r="489" spans="1:24" x14ac:dyDescent="0.25">
      <c r="A489">
        <v>6736366</v>
      </c>
      <c r="B489" t="s">
        <v>2515</v>
      </c>
      <c r="C489" t="s">
        <v>2516</v>
      </c>
      <c r="D489" t="s">
        <v>2517</v>
      </c>
      <c r="E489" t="s">
        <v>119</v>
      </c>
      <c r="F489" t="s">
        <v>2518</v>
      </c>
      <c r="G489" t="s">
        <v>2519</v>
      </c>
      <c r="H489">
        <v>0</v>
      </c>
      <c r="I489">
        <v>4.2</v>
      </c>
      <c r="J489" t="s">
        <v>2236</v>
      </c>
      <c r="K489" t="s">
        <v>147</v>
      </c>
      <c r="L489">
        <v>306</v>
      </c>
      <c r="M489">
        <v>2009</v>
      </c>
      <c r="N489">
        <v>2009</v>
      </c>
      <c r="O489" s="2"/>
      <c r="P489" s="2">
        <v>42508</v>
      </c>
      <c r="Q489" t="s">
        <v>2520</v>
      </c>
      <c r="R489" t="s">
        <v>2521</v>
      </c>
      <c r="S489" t="s">
        <v>132</v>
      </c>
      <c r="T489" t="s">
        <v>119</v>
      </c>
      <c r="U489" t="s">
        <v>119</v>
      </c>
      <c r="V489" t="s">
        <v>119</v>
      </c>
      <c r="W489">
        <v>0</v>
      </c>
      <c r="X489">
        <v>0</v>
      </c>
    </row>
    <row r="490" spans="1:24" x14ac:dyDescent="0.25">
      <c r="A490">
        <v>3828382</v>
      </c>
      <c r="B490" t="s">
        <v>1159</v>
      </c>
      <c r="C490" t="s">
        <v>44</v>
      </c>
      <c r="D490" t="s">
        <v>1160</v>
      </c>
      <c r="E490" t="s">
        <v>119</v>
      </c>
      <c r="F490" t="s">
        <v>1161</v>
      </c>
      <c r="G490" t="s">
        <v>1162</v>
      </c>
      <c r="H490">
        <v>4</v>
      </c>
      <c r="I490">
        <v>3.81</v>
      </c>
      <c r="J490" t="s">
        <v>388</v>
      </c>
      <c r="K490" t="s">
        <v>147</v>
      </c>
      <c r="L490">
        <v>151</v>
      </c>
      <c r="M490">
        <v>2008</v>
      </c>
      <c r="N490">
        <v>2008</v>
      </c>
      <c r="O490" s="2">
        <v>44192</v>
      </c>
      <c r="P490" s="2">
        <v>44186</v>
      </c>
      <c r="Q490" t="s">
        <v>119</v>
      </c>
      <c r="R490" t="s">
        <v>119</v>
      </c>
      <c r="S490" t="s">
        <v>125</v>
      </c>
      <c r="T490" t="s">
        <v>1163</v>
      </c>
      <c r="U490" t="s">
        <v>119</v>
      </c>
      <c r="V490" t="s">
        <v>119</v>
      </c>
      <c r="W490">
        <v>1</v>
      </c>
      <c r="X490">
        <v>0</v>
      </c>
    </row>
    <row r="491" spans="1:24" x14ac:dyDescent="0.25">
      <c r="A491">
        <v>40651734</v>
      </c>
      <c r="B491" t="s">
        <v>2191</v>
      </c>
      <c r="C491" t="s">
        <v>2192</v>
      </c>
      <c r="D491" t="s">
        <v>2193</v>
      </c>
      <c r="E491" t="s">
        <v>119</v>
      </c>
      <c r="F491" t="s">
        <v>120</v>
      </c>
      <c r="G491" t="s">
        <v>120</v>
      </c>
      <c r="H491">
        <v>5</v>
      </c>
      <c r="I491">
        <v>4.1900000000000004</v>
      </c>
      <c r="J491" t="s">
        <v>2194</v>
      </c>
      <c r="K491" t="s">
        <v>122</v>
      </c>
      <c r="L491">
        <v>322</v>
      </c>
      <c r="M491">
        <v>2013</v>
      </c>
      <c r="N491">
        <v>2013</v>
      </c>
      <c r="O491" s="2">
        <v>43415</v>
      </c>
      <c r="P491" s="2">
        <v>43372</v>
      </c>
      <c r="Q491" t="s">
        <v>2195</v>
      </c>
      <c r="R491" t="s">
        <v>2196</v>
      </c>
      <c r="S491" t="s">
        <v>125</v>
      </c>
      <c r="T491" t="s">
        <v>119</v>
      </c>
      <c r="U491" t="s">
        <v>119</v>
      </c>
      <c r="V491" t="s">
        <v>119</v>
      </c>
      <c r="W491">
        <v>1</v>
      </c>
      <c r="X491">
        <v>0</v>
      </c>
    </row>
    <row r="492" spans="1:24" x14ac:dyDescent="0.25">
      <c r="A492">
        <v>44770129</v>
      </c>
      <c r="B492" t="s">
        <v>572</v>
      </c>
      <c r="C492" t="s">
        <v>573</v>
      </c>
      <c r="D492" t="s">
        <v>574</v>
      </c>
      <c r="E492" t="s">
        <v>119</v>
      </c>
      <c r="F492" t="s">
        <v>120</v>
      </c>
      <c r="G492" t="s">
        <v>120</v>
      </c>
      <c r="H492">
        <v>3</v>
      </c>
      <c r="I492">
        <v>3.95</v>
      </c>
      <c r="J492" t="s">
        <v>575</v>
      </c>
      <c r="K492" t="s">
        <v>122</v>
      </c>
      <c r="L492">
        <v>304</v>
      </c>
      <c r="M492">
        <v>2019</v>
      </c>
      <c r="N492">
        <v>2019</v>
      </c>
      <c r="O492" s="2">
        <v>44622</v>
      </c>
      <c r="P492" s="2">
        <v>43829</v>
      </c>
      <c r="Q492" t="s">
        <v>119</v>
      </c>
      <c r="R492" t="s">
        <v>119</v>
      </c>
      <c r="S492" t="s">
        <v>125</v>
      </c>
      <c r="T492" t="s">
        <v>576</v>
      </c>
      <c r="U492" t="s">
        <v>119</v>
      </c>
      <c r="V492" t="s">
        <v>119</v>
      </c>
      <c r="W492">
        <v>1</v>
      </c>
      <c r="X492">
        <v>0</v>
      </c>
    </row>
    <row r="493" spans="1:24" x14ac:dyDescent="0.25">
      <c r="A493">
        <v>936039</v>
      </c>
      <c r="B493" t="s">
        <v>753</v>
      </c>
      <c r="C493" t="s">
        <v>754</v>
      </c>
      <c r="D493" t="s">
        <v>755</v>
      </c>
      <c r="E493" t="s">
        <v>119</v>
      </c>
      <c r="F493" t="s">
        <v>756</v>
      </c>
      <c r="G493" t="s">
        <v>757</v>
      </c>
      <c r="H493">
        <v>5</v>
      </c>
      <c r="I493">
        <v>3.34</v>
      </c>
      <c r="J493" t="s">
        <v>758</v>
      </c>
      <c r="K493" t="s">
        <v>140</v>
      </c>
      <c r="L493">
        <v>227</v>
      </c>
      <c r="M493">
        <v>2003</v>
      </c>
      <c r="O493" s="2">
        <v>44562</v>
      </c>
      <c r="P493" s="2">
        <v>44461</v>
      </c>
      <c r="Q493" t="s">
        <v>119</v>
      </c>
      <c r="R493" t="s">
        <v>119</v>
      </c>
      <c r="S493" t="s">
        <v>125</v>
      </c>
      <c r="T493" t="s">
        <v>759</v>
      </c>
      <c r="U493" t="s">
        <v>119</v>
      </c>
      <c r="V493" t="s">
        <v>119</v>
      </c>
      <c r="W493">
        <v>1</v>
      </c>
      <c r="X493">
        <v>0</v>
      </c>
    </row>
    <row r="494" spans="1:24" x14ac:dyDescent="0.25">
      <c r="A494">
        <v>8664353</v>
      </c>
      <c r="B494" t="s">
        <v>2721</v>
      </c>
      <c r="C494" t="s">
        <v>2722</v>
      </c>
      <c r="D494" t="s">
        <v>2723</v>
      </c>
      <c r="E494" t="s">
        <v>119</v>
      </c>
      <c r="F494" t="s">
        <v>2724</v>
      </c>
      <c r="G494" t="s">
        <v>2725</v>
      </c>
      <c r="H494">
        <v>5</v>
      </c>
      <c r="I494">
        <v>4.37</v>
      </c>
      <c r="J494" t="s">
        <v>210</v>
      </c>
      <c r="K494" t="s">
        <v>147</v>
      </c>
      <c r="L494">
        <v>475</v>
      </c>
      <c r="M494">
        <v>2010</v>
      </c>
      <c r="N494">
        <v>2010</v>
      </c>
      <c r="O494" s="2">
        <v>42523</v>
      </c>
      <c r="P494" s="2">
        <v>42471</v>
      </c>
      <c r="Q494" t="s">
        <v>119</v>
      </c>
      <c r="R494" t="s">
        <v>119</v>
      </c>
      <c r="S494" t="s">
        <v>125</v>
      </c>
      <c r="T494" t="s">
        <v>119</v>
      </c>
      <c r="U494" t="s">
        <v>119</v>
      </c>
      <c r="V494" t="s">
        <v>119</v>
      </c>
      <c r="W494">
        <v>1</v>
      </c>
      <c r="X494">
        <v>0</v>
      </c>
    </row>
    <row r="495" spans="1:24" x14ac:dyDescent="0.25">
      <c r="A495">
        <v>13223265</v>
      </c>
      <c r="B495" t="s">
        <v>2733</v>
      </c>
      <c r="C495" t="s">
        <v>2129</v>
      </c>
      <c r="D495" t="s">
        <v>2130</v>
      </c>
      <c r="E495" t="s">
        <v>119</v>
      </c>
      <c r="F495" t="s">
        <v>2734</v>
      </c>
      <c r="G495" t="s">
        <v>2735</v>
      </c>
      <c r="H495">
        <v>4</v>
      </c>
      <c r="I495">
        <v>3.74</v>
      </c>
      <c r="J495" t="s">
        <v>2736</v>
      </c>
      <c r="K495" t="s">
        <v>157</v>
      </c>
      <c r="L495">
        <v>256</v>
      </c>
      <c r="M495">
        <v>2011</v>
      </c>
      <c r="N495">
        <v>2009</v>
      </c>
      <c r="O495" s="2">
        <v>41138</v>
      </c>
      <c r="P495" s="2">
        <v>41163</v>
      </c>
      <c r="Q495" t="s">
        <v>609</v>
      </c>
      <c r="R495" t="s">
        <v>2737</v>
      </c>
      <c r="S495" t="s">
        <v>125</v>
      </c>
      <c r="T495" t="s">
        <v>119</v>
      </c>
      <c r="U495" t="s">
        <v>119</v>
      </c>
      <c r="V495" t="s">
        <v>119</v>
      </c>
      <c r="W495">
        <v>1</v>
      </c>
      <c r="X495">
        <v>0</v>
      </c>
    </row>
    <row r="496" spans="1:24" x14ac:dyDescent="0.25">
      <c r="A496">
        <v>19499468</v>
      </c>
      <c r="B496" t="s">
        <v>2642</v>
      </c>
      <c r="C496" t="s">
        <v>2643</v>
      </c>
      <c r="D496" t="s">
        <v>2644</v>
      </c>
      <c r="E496" t="s">
        <v>119</v>
      </c>
      <c r="F496" t="s">
        <v>120</v>
      </c>
      <c r="G496" t="s">
        <v>120</v>
      </c>
      <c r="H496">
        <v>0</v>
      </c>
      <c r="I496">
        <v>4.21</v>
      </c>
      <c r="J496" t="s">
        <v>2645</v>
      </c>
      <c r="K496" t="s">
        <v>122</v>
      </c>
      <c r="L496">
        <v>448</v>
      </c>
      <c r="M496">
        <v>2012</v>
      </c>
      <c r="N496">
        <v>1986</v>
      </c>
      <c r="O496" s="2"/>
      <c r="P496" s="2">
        <v>42430</v>
      </c>
      <c r="Q496" t="s">
        <v>2646</v>
      </c>
      <c r="R496" t="s">
        <v>2647</v>
      </c>
      <c r="S496" t="s">
        <v>265</v>
      </c>
      <c r="T496" t="s">
        <v>119</v>
      </c>
      <c r="U496" t="s">
        <v>119</v>
      </c>
      <c r="V496" t="s">
        <v>119</v>
      </c>
      <c r="W496">
        <v>1</v>
      </c>
      <c r="X496">
        <v>0</v>
      </c>
    </row>
    <row r="497" spans="1:24" x14ac:dyDescent="0.25">
      <c r="A497">
        <v>42934086</v>
      </c>
      <c r="B497" t="s">
        <v>1635</v>
      </c>
      <c r="C497" t="s">
        <v>1636</v>
      </c>
      <c r="D497" t="s">
        <v>1637</v>
      </c>
      <c r="E497" t="s">
        <v>1638</v>
      </c>
      <c r="F497" t="s">
        <v>120</v>
      </c>
      <c r="G497" t="s">
        <v>120</v>
      </c>
      <c r="H497">
        <v>0</v>
      </c>
      <c r="I497">
        <v>4.46</v>
      </c>
      <c r="J497" t="s">
        <v>782</v>
      </c>
      <c r="K497" t="s">
        <v>122</v>
      </c>
      <c r="L497">
        <v>352</v>
      </c>
      <c r="M497">
        <v>2019</v>
      </c>
      <c r="N497">
        <v>2019</v>
      </c>
      <c r="O497" s="2"/>
      <c r="P497" s="2">
        <v>43923</v>
      </c>
      <c r="Q497" t="s">
        <v>132</v>
      </c>
      <c r="R497" t="s">
        <v>1639</v>
      </c>
      <c r="S497" t="s">
        <v>132</v>
      </c>
      <c r="T497" t="s">
        <v>119</v>
      </c>
      <c r="U497" t="s">
        <v>119</v>
      </c>
      <c r="V497" t="s">
        <v>119</v>
      </c>
      <c r="W497">
        <v>0</v>
      </c>
      <c r="X497">
        <v>0</v>
      </c>
    </row>
    <row r="498" spans="1:24" x14ac:dyDescent="0.25">
      <c r="A498">
        <v>22221112</v>
      </c>
      <c r="B498" t="s">
        <v>2790</v>
      </c>
      <c r="C498" t="s">
        <v>2791</v>
      </c>
      <c r="D498" t="s">
        <v>2792</v>
      </c>
      <c r="E498" t="s">
        <v>2793</v>
      </c>
      <c r="F498" t="s">
        <v>2794</v>
      </c>
      <c r="G498" t="s">
        <v>2795</v>
      </c>
      <c r="H498">
        <v>0</v>
      </c>
      <c r="I498">
        <v>4.21</v>
      </c>
      <c r="J498" t="s">
        <v>1910</v>
      </c>
      <c r="K498" t="s">
        <v>140</v>
      </c>
      <c r="L498">
        <v>324</v>
      </c>
      <c r="M498">
        <v>2014</v>
      </c>
      <c r="N498">
        <v>2012</v>
      </c>
      <c r="O498" s="2"/>
      <c r="P498" s="2">
        <v>42471</v>
      </c>
      <c r="Q498" t="s">
        <v>2598</v>
      </c>
      <c r="R498" t="s">
        <v>2796</v>
      </c>
      <c r="S498" t="s">
        <v>132</v>
      </c>
      <c r="T498" t="s">
        <v>119</v>
      </c>
      <c r="U498" t="s">
        <v>119</v>
      </c>
      <c r="V498" t="s">
        <v>119</v>
      </c>
      <c r="W498">
        <v>0</v>
      </c>
      <c r="X498">
        <v>0</v>
      </c>
    </row>
    <row r="499" spans="1:24" x14ac:dyDescent="0.25">
      <c r="A499">
        <v>17919730</v>
      </c>
      <c r="B499" t="s">
        <v>2702</v>
      </c>
      <c r="C499" t="s">
        <v>2703</v>
      </c>
      <c r="D499" t="s">
        <v>2704</v>
      </c>
      <c r="E499" t="s">
        <v>119</v>
      </c>
      <c r="F499" t="s">
        <v>2705</v>
      </c>
      <c r="G499" t="s">
        <v>2706</v>
      </c>
      <c r="H499">
        <v>3</v>
      </c>
      <c r="I499">
        <v>4.0999999999999996</v>
      </c>
      <c r="J499" t="s">
        <v>1910</v>
      </c>
      <c r="K499" t="s">
        <v>273</v>
      </c>
      <c r="L499">
        <v>240</v>
      </c>
      <c r="M499">
        <v>2013</v>
      </c>
      <c r="N499">
        <v>2013</v>
      </c>
      <c r="O499" s="2">
        <v>42566</v>
      </c>
      <c r="P499" s="2">
        <v>42489</v>
      </c>
      <c r="Q499" t="s">
        <v>148</v>
      </c>
      <c r="R499" t="s">
        <v>2707</v>
      </c>
      <c r="S499" t="s">
        <v>125</v>
      </c>
      <c r="T499" t="s">
        <v>119</v>
      </c>
      <c r="U499" t="s">
        <v>119</v>
      </c>
      <c r="V499" t="s">
        <v>119</v>
      </c>
      <c r="W499">
        <v>1</v>
      </c>
      <c r="X499">
        <v>0</v>
      </c>
    </row>
    <row r="500" spans="1:24" x14ac:dyDescent="0.25">
      <c r="A500">
        <v>28552966</v>
      </c>
      <c r="B500" t="s">
        <v>356</v>
      </c>
      <c r="C500" t="s">
        <v>350</v>
      </c>
      <c r="D500" t="s">
        <v>351</v>
      </c>
      <c r="E500" t="s">
        <v>119</v>
      </c>
      <c r="F500" t="s">
        <v>120</v>
      </c>
      <c r="G500" t="s">
        <v>120</v>
      </c>
      <c r="H500">
        <v>0</v>
      </c>
      <c r="I500">
        <v>3.84</v>
      </c>
      <c r="J500" t="s">
        <v>119</v>
      </c>
      <c r="K500" t="s">
        <v>122</v>
      </c>
      <c r="L500">
        <v>76</v>
      </c>
      <c r="M500">
        <v>2015</v>
      </c>
      <c r="N500">
        <v>1903</v>
      </c>
      <c r="O500" s="2"/>
      <c r="P500" s="2">
        <v>44867</v>
      </c>
      <c r="Q500" t="s">
        <v>132</v>
      </c>
      <c r="R500" t="s">
        <v>357</v>
      </c>
      <c r="S500" t="s">
        <v>132</v>
      </c>
      <c r="T500" t="s">
        <v>119</v>
      </c>
      <c r="U500" t="s">
        <v>119</v>
      </c>
      <c r="V500" t="s">
        <v>119</v>
      </c>
      <c r="W500">
        <v>0</v>
      </c>
      <c r="X500">
        <v>0</v>
      </c>
    </row>
    <row r="501" spans="1:24" x14ac:dyDescent="0.25">
      <c r="A501">
        <v>29975312</v>
      </c>
      <c r="B501" t="s">
        <v>349</v>
      </c>
      <c r="C501" t="s">
        <v>350</v>
      </c>
      <c r="D501" t="s">
        <v>351</v>
      </c>
      <c r="E501" t="s">
        <v>119</v>
      </c>
      <c r="F501" t="s">
        <v>120</v>
      </c>
      <c r="G501" t="s">
        <v>120</v>
      </c>
      <c r="H501">
        <v>0</v>
      </c>
      <c r="I501">
        <v>3.62</v>
      </c>
      <c r="J501" t="s">
        <v>352</v>
      </c>
      <c r="K501" t="s">
        <v>122</v>
      </c>
      <c r="L501">
        <v>264</v>
      </c>
      <c r="M501">
        <v>2015</v>
      </c>
      <c r="N501">
        <v>1911</v>
      </c>
      <c r="O501" s="2"/>
      <c r="P501" s="2">
        <v>44867</v>
      </c>
      <c r="Q501" t="s">
        <v>132</v>
      </c>
      <c r="R501" t="s">
        <v>353</v>
      </c>
      <c r="S501" t="s">
        <v>132</v>
      </c>
      <c r="T501" t="s">
        <v>119</v>
      </c>
      <c r="U501" t="s">
        <v>119</v>
      </c>
      <c r="V501" t="s">
        <v>119</v>
      </c>
      <c r="W501">
        <v>0</v>
      </c>
      <c r="X501">
        <v>0</v>
      </c>
    </row>
    <row r="502" spans="1:24" x14ac:dyDescent="0.25">
      <c r="A502">
        <v>246644</v>
      </c>
      <c r="B502" t="s">
        <v>2113</v>
      </c>
      <c r="C502" t="s">
        <v>2109</v>
      </c>
      <c r="D502" t="s">
        <v>2110</v>
      </c>
      <c r="E502" t="s">
        <v>119</v>
      </c>
      <c r="F502" t="s">
        <v>2114</v>
      </c>
      <c r="G502" t="s">
        <v>2115</v>
      </c>
      <c r="H502">
        <v>5</v>
      </c>
      <c r="I502">
        <v>4.2</v>
      </c>
      <c r="J502" t="s">
        <v>156</v>
      </c>
      <c r="K502" t="s">
        <v>157</v>
      </c>
      <c r="L502">
        <v>619</v>
      </c>
      <c r="M502">
        <v>2016</v>
      </c>
      <c r="N502">
        <v>1932</v>
      </c>
      <c r="O502" s="2"/>
      <c r="P502" s="2">
        <v>43508</v>
      </c>
      <c r="Q502" t="s">
        <v>119</v>
      </c>
      <c r="R502" t="s">
        <v>119</v>
      </c>
      <c r="S502" t="s">
        <v>125</v>
      </c>
      <c r="T502" t="s">
        <v>119</v>
      </c>
      <c r="U502" t="s">
        <v>119</v>
      </c>
      <c r="V502" t="s">
        <v>119</v>
      </c>
      <c r="W502">
        <v>1</v>
      </c>
      <c r="X502">
        <v>0</v>
      </c>
    </row>
    <row r="503" spans="1:24" x14ac:dyDescent="0.25">
      <c r="A503">
        <v>31307683</v>
      </c>
      <c r="B503" t="s">
        <v>2013</v>
      </c>
      <c r="C503" t="s">
        <v>2014</v>
      </c>
      <c r="D503" t="s">
        <v>2015</v>
      </c>
      <c r="E503" t="s">
        <v>119</v>
      </c>
      <c r="F503" t="s">
        <v>2016</v>
      </c>
      <c r="G503" t="s">
        <v>2017</v>
      </c>
      <c r="H503">
        <v>0</v>
      </c>
      <c r="I503">
        <v>3.93</v>
      </c>
      <c r="J503" t="s">
        <v>201</v>
      </c>
      <c r="K503" t="s">
        <v>273</v>
      </c>
      <c r="L503">
        <v>144</v>
      </c>
      <c r="M503">
        <v>2017</v>
      </c>
      <c r="N503">
        <v>2017</v>
      </c>
      <c r="O503" s="2"/>
      <c r="P503" s="2">
        <v>43552</v>
      </c>
      <c r="Q503" t="s">
        <v>132</v>
      </c>
      <c r="R503" t="s">
        <v>2018</v>
      </c>
      <c r="S503" t="s">
        <v>132</v>
      </c>
      <c r="T503" t="s">
        <v>119</v>
      </c>
      <c r="U503" t="s">
        <v>119</v>
      </c>
      <c r="V503" t="s">
        <v>119</v>
      </c>
      <c r="W503">
        <v>0</v>
      </c>
      <c r="X503">
        <v>0</v>
      </c>
    </row>
    <row r="504" spans="1:24" x14ac:dyDescent="0.25">
      <c r="A504">
        <v>18774981</v>
      </c>
      <c r="B504" t="s">
        <v>2726</v>
      </c>
      <c r="C504" t="s">
        <v>504</v>
      </c>
      <c r="D504" t="s">
        <v>505</v>
      </c>
      <c r="E504" t="s">
        <v>119</v>
      </c>
      <c r="F504" t="s">
        <v>2727</v>
      </c>
      <c r="G504" t="s">
        <v>2728</v>
      </c>
      <c r="H504">
        <v>4</v>
      </c>
      <c r="I504">
        <v>3.9</v>
      </c>
      <c r="J504" t="s">
        <v>1096</v>
      </c>
      <c r="K504" t="s">
        <v>147</v>
      </c>
      <c r="L504">
        <v>256</v>
      </c>
      <c r="M504">
        <v>2014</v>
      </c>
      <c r="N504">
        <v>2014</v>
      </c>
      <c r="O504" s="2">
        <v>42512</v>
      </c>
      <c r="P504" s="2">
        <v>42165</v>
      </c>
      <c r="Q504" t="s">
        <v>2322</v>
      </c>
      <c r="R504" t="s">
        <v>2729</v>
      </c>
      <c r="S504" t="s">
        <v>125</v>
      </c>
      <c r="T504" t="s">
        <v>119</v>
      </c>
      <c r="U504" t="s">
        <v>119</v>
      </c>
      <c r="V504" t="s">
        <v>119</v>
      </c>
      <c r="W504">
        <v>1</v>
      </c>
      <c r="X504">
        <v>0</v>
      </c>
    </row>
    <row r="505" spans="1:24" x14ac:dyDescent="0.25">
      <c r="A505">
        <v>11440688</v>
      </c>
      <c r="B505" t="s">
        <v>681</v>
      </c>
      <c r="C505" t="s">
        <v>682</v>
      </c>
      <c r="D505" t="s">
        <v>683</v>
      </c>
      <c r="E505" t="s">
        <v>119</v>
      </c>
      <c r="F505" t="s">
        <v>684</v>
      </c>
      <c r="G505" t="s">
        <v>685</v>
      </c>
      <c r="H505">
        <v>0</v>
      </c>
      <c r="I505">
        <v>4.03</v>
      </c>
      <c r="J505" t="s">
        <v>686</v>
      </c>
      <c r="K505" t="s">
        <v>140</v>
      </c>
      <c r="L505">
        <v>168</v>
      </c>
      <c r="M505">
        <v>2010</v>
      </c>
      <c r="N505">
        <v>2010</v>
      </c>
      <c r="O505" s="2"/>
      <c r="P505" s="2">
        <v>44576</v>
      </c>
      <c r="Q505" t="s">
        <v>265</v>
      </c>
      <c r="R505" t="s">
        <v>687</v>
      </c>
      <c r="S505" t="s">
        <v>265</v>
      </c>
      <c r="T505" t="s">
        <v>119</v>
      </c>
      <c r="U505" t="s">
        <v>119</v>
      </c>
      <c r="V505" t="s">
        <v>119</v>
      </c>
      <c r="W505">
        <v>1</v>
      </c>
      <c r="X505">
        <v>0</v>
      </c>
    </row>
    <row r="506" spans="1:24" x14ac:dyDescent="0.25">
      <c r="A506">
        <v>5548</v>
      </c>
      <c r="B506" t="s">
        <v>2758</v>
      </c>
      <c r="C506" t="s">
        <v>1375</v>
      </c>
      <c r="D506" t="s">
        <v>1376</v>
      </c>
      <c r="E506" t="s">
        <v>119</v>
      </c>
      <c r="F506" t="s">
        <v>2759</v>
      </c>
      <c r="G506" t="s">
        <v>2760</v>
      </c>
      <c r="H506">
        <v>5</v>
      </c>
      <c r="I506">
        <v>4.1900000000000004</v>
      </c>
      <c r="J506" t="s">
        <v>1430</v>
      </c>
      <c r="K506" t="s">
        <v>140</v>
      </c>
      <c r="L506">
        <v>256</v>
      </c>
      <c r="M506">
        <v>2001</v>
      </c>
      <c r="N506">
        <v>1988</v>
      </c>
      <c r="O506" s="2"/>
      <c r="P506" s="2">
        <v>42165</v>
      </c>
      <c r="Q506" t="s">
        <v>2418</v>
      </c>
      <c r="R506" t="s">
        <v>2761</v>
      </c>
      <c r="S506" t="s">
        <v>125</v>
      </c>
      <c r="T506" t="s">
        <v>119</v>
      </c>
      <c r="U506" t="s">
        <v>119</v>
      </c>
      <c r="V506" t="s">
        <v>119</v>
      </c>
      <c r="W506">
        <v>1</v>
      </c>
      <c r="X506">
        <v>0</v>
      </c>
    </row>
    <row r="507" spans="1:24" x14ac:dyDescent="0.25">
      <c r="A507">
        <v>2195464</v>
      </c>
      <c r="B507" t="s">
        <v>2179</v>
      </c>
      <c r="C507" t="s">
        <v>915</v>
      </c>
      <c r="D507" t="s">
        <v>916</v>
      </c>
      <c r="E507" t="s">
        <v>917</v>
      </c>
      <c r="F507" t="s">
        <v>2180</v>
      </c>
      <c r="G507" t="s">
        <v>2181</v>
      </c>
      <c r="H507">
        <v>3</v>
      </c>
      <c r="I507">
        <v>3.87</v>
      </c>
      <c r="J507" t="s">
        <v>920</v>
      </c>
      <c r="K507" t="s">
        <v>147</v>
      </c>
      <c r="L507">
        <v>188</v>
      </c>
      <c r="M507">
        <v>2008</v>
      </c>
      <c r="N507">
        <v>2007</v>
      </c>
      <c r="O507" s="2">
        <v>43444</v>
      </c>
      <c r="P507" s="2">
        <v>43433</v>
      </c>
      <c r="Q507" t="s">
        <v>119</v>
      </c>
      <c r="R507" t="s">
        <v>119</v>
      </c>
      <c r="S507" t="s">
        <v>125</v>
      </c>
      <c r="T507" t="s">
        <v>119</v>
      </c>
      <c r="U507" t="s">
        <v>119</v>
      </c>
      <c r="V507" t="s">
        <v>119</v>
      </c>
      <c r="W507">
        <v>1</v>
      </c>
      <c r="X507">
        <v>0</v>
      </c>
    </row>
    <row r="508" spans="1:24" x14ac:dyDescent="0.25">
      <c r="A508">
        <v>63189090</v>
      </c>
      <c r="B508" t="s">
        <v>38</v>
      </c>
      <c r="C508" t="s">
        <v>39</v>
      </c>
      <c r="D508" t="s">
        <v>293</v>
      </c>
      <c r="E508" t="s">
        <v>119</v>
      </c>
      <c r="F508" t="s">
        <v>120</v>
      </c>
      <c r="G508" t="s">
        <v>120</v>
      </c>
      <c r="H508">
        <v>0</v>
      </c>
      <c r="I508">
        <v>4.28</v>
      </c>
      <c r="J508" t="s">
        <v>119</v>
      </c>
      <c r="K508" t="s">
        <v>122</v>
      </c>
      <c r="M508">
        <v>2022</v>
      </c>
      <c r="O508" s="2"/>
      <c r="P508" s="2">
        <v>44898</v>
      </c>
      <c r="Q508" t="s">
        <v>132</v>
      </c>
      <c r="R508" t="s">
        <v>294</v>
      </c>
      <c r="S508" t="s">
        <v>132</v>
      </c>
      <c r="T508" t="s">
        <v>119</v>
      </c>
      <c r="U508" t="s">
        <v>119</v>
      </c>
      <c r="V508" t="s">
        <v>119</v>
      </c>
      <c r="W508">
        <v>0</v>
      </c>
      <c r="X508">
        <v>0</v>
      </c>
    </row>
    <row r="509" spans="1:24" x14ac:dyDescent="0.25">
      <c r="A509">
        <v>21031</v>
      </c>
      <c r="B509" t="s">
        <v>1629</v>
      </c>
      <c r="C509" t="s">
        <v>1630</v>
      </c>
      <c r="D509" t="s">
        <v>1631</v>
      </c>
      <c r="E509" t="s">
        <v>119</v>
      </c>
      <c r="F509" t="s">
        <v>1632</v>
      </c>
      <c r="G509" t="s">
        <v>1633</v>
      </c>
      <c r="H509">
        <v>0</v>
      </c>
      <c r="I509">
        <v>4.3600000000000003</v>
      </c>
      <c r="J509" t="s">
        <v>1408</v>
      </c>
      <c r="K509" t="s">
        <v>140</v>
      </c>
      <c r="L509">
        <v>310</v>
      </c>
      <c r="M509">
        <v>2005</v>
      </c>
      <c r="N509">
        <v>1992</v>
      </c>
      <c r="O509" s="2"/>
      <c r="P509" s="2">
        <v>43924</v>
      </c>
      <c r="Q509" t="s">
        <v>132</v>
      </c>
      <c r="R509" t="s">
        <v>1634</v>
      </c>
      <c r="S509" t="s">
        <v>132</v>
      </c>
      <c r="T509" t="s">
        <v>119</v>
      </c>
      <c r="U509" t="s">
        <v>119</v>
      </c>
      <c r="V509" t="s">
        <v>119</v>
      </c>
      <c r="W509">
        <v>0</v>
      </c>
      <c r="X509">
        <v>0</v>
      </c>
    </row>
    <row r="510" spans="1:24" x14ac:dyDescent="0.25">
      <c r="A510">
        <v>35412097</v>
      </c>
      <c r="B510" t="s">
        <v>2043</v>
      </c>
      <c r="C510" t="s">
        <v>671</v>
      </c>
      <c r="D510" t="s">
        <v>672</v>
      </c>
      <c r="E510" t="s">
        <v>119</v>
      </c>
      <c r="F510" t="s">
        <v>2044</v>
      </c>
      <c r="G510" t="s">
        <v>2045</v>
      </c>
      <c r="H510">
        <v>4</v>
      </c>
      <c r="I510">
        <v>3.79</v>
      </c>
      <c r="J510" t="s">
        <v>184</v>
      </c>
      <c r="K510" t="s">
        <v>147</v>
      </c>
      <c r="L510">
        <v>272</v>
      </c>
      <c r="M510">
        <v>2018</v>
      </c>
      <c r="N510">
        <v>2018</v>
      </c>
      <c r="O510" s="2">
        <v>43529</v>
      </c>
      <c r="P510" s="2">
        <v>43447</v>
      </c>
      <c r="Q510" t="s">
        <v>119</v>
      </c>
      <c r="R510" t="s">
        <v>119</v>
      </c>
      <c r="S510" t="s">
        <v>125</v>
      </c>
      <c r="T510" t="s">
        <v>119</v>
      </c>
      <c r="U510" t="s">
        <v>119</v>
      </c>
      <c r="V510" t="s">
        <v>119</v>
      </c>
      <c r="W510">
        <v>1</v>
      </c>
      <c r="X510">
        <v>0</v>
      </c>
    </row>
    <row r="511" spans="1:24" x14ac:dyDescent="0.25">
      <c r="A511">
        <v>14096</v>
      </c>
      <c r="B511" t="s">
        <v>2942</v>
      </c>
      <c r="C511" t="s">
        <v>441</v>
      </c>
      <c r="D511" t="s">
        <v>2943</v>
      </c>
      <c r="E511" t="s">
        <v>119</v>
      </c>
      <c r="F511" t="s">
        <v>2944</v>
      </c>
      <c r="G511" t="s">
        <v>2945</v>
      </c>
      <c r="H511">
        <v>4</v>
      </c>
      <c r="I511">
        <v>4.12</v>
      </c>
      <c r="J511" t="s">
        <v>1309</v>
      </c>
      <c r="K511" t="s">
        <v>140</v>
      </c>
      <c r="L511">
        <v>304</v>
      </c>
      <c r="M511">
        <v>2005</v>
      </c>
      <c r="N511">
        <v>1994</v>
      </c>
      <c r="O511" s="2">
        <v>42256</v>
      </c>
      <c r="P511" s="2">
        <v>42250</v>
      </c>
      <c r="Q511" t="s">
        <v>882</v>
      </c>
      <c r="R511" t="s">
        <v>2946</v>
      </c>
      <c r="S511" t="s">
        <v>125</v>
      </c>
      <c r="T511" t="s">
        <v>119</v>
      </c>
      <c r="U511" t="s">
        <v>119</v>
      </c>
      <c r="V511" t="s">
        <v>119</v>
      </c>
      <c r="W511">
        <v>1</v>
      </c>
      <c r="X511">
        <v>0</v>
      </c>
    </row>
    <row r="512" spans="1:24" x14ac:dyDescent="0.25">
      <c r="A512">
        <v>4894</v>
      </c>
      <c r="B512" t="s">
        <v>2201</v>
      </c>
      <c r="C512" t="s">
        <v>2202</v>
      </c>
      <c r="D512" t="s">
        <v>2203</v>
      </c>
      <c r="E512" t="s">
        <v>2204</v>
      </c>
      <c r="F512" t="s">
        <v>2205</v>
      </c>
      <c r="G512" t="s">
        <v>2206</v>
      </c>
      <c r="H512">
        <v>4</v>
      </c>
      <c r="I512">
        <v>3.85</v>
      </c>
      <c r="J512" t="s">
        <v>2207</v>
      </c>
      <c r="K512" t="s">
        <v>147</v>
      </c>
      <c r="L512">
        <v>96</v>
      </c>
      <c r="M512">
        <v>2002</v>
      </c>
      <c r="N512">
        <v>1999</v>
      </c>
      <c r="O512" s="2">
        <v>43394</v>
      </c>
      <c r="P512" s="2">
        <v>43394</v>
      </c>
      <c r="Q512" t="s">
        <v>119</v>
      </c>
      <c r="R512" t="s">
        <v>119</v>
      </c>
      <c r="S512" t="s">
        <v>125</v>
      </c>
      <c r="T512" t="s">
        <v>119</v>
      </c>
      <c r="U512" t="s">
        <v>119</v>
      </c>
      <c r="V512" t="s">
        <v>119</v>
      </c>
      <c r="W512">
        <v>1</v>
      </c>
      <c r="X512">
        <v>0</v>
      </c>
    </row>
    <row r="513" spans="1:24" x14ac:dyDescent="0.25">
      <c r="A513">
        <v>44279111</v>
      </c>
      <c r="B513" t="s">
        <v>1134</v>
      </c>
      <c r="C513" t="s">
        <v>1135</v>
      </c>
      <c r="D513" t="s">
        <v>1136</v>
      </c>
      <c r="E513" t="s">
        <v>119</v>
      </c>
      <c r="F513" t="s">
        <v>1137</v>
      </c>
      <c r="G513" t="s">
        <v>1138</v>
      </c>
      <c r="H513">
        <v>0</v>
      </c>
      <c r="I513">
        <v>3.63</v>
      </c>
      <c r="J513" t="s">
        <v>388</v>
      </c>
      <c r="K513" t="s">
        <v>147</v>
      </c>
      <c r="L513">
        <v>288</v>
      </c>
      <c r="M513">
        <v>2019</v>
      </c>
      <c r="N513">
        <v>2019</v>
      </c>
      <c r="O513" s="2"/>
      <c r="P513" s="2">
        <v>44198</v>
      </c>
      <c r="Q513" t="s">
        <v>132</v>
      </c>
      <c r="R513" t="s">
        <v>1139</v>
      </c>
      <c r="S513" t="s">
        <v>132</v>
      </c>
      <c r="T513" t="s">
        <v>119</v>
      </c>
      <c r="U513" t="s">
        <v>119</v>
      </c>
      <c r="V513" t="s">
        <v>119</v>
      </c>
      <c r="W513">
        <v>0</v>
      </c>
      <c r="X513">
        <v>0</v>
      </c>
    </row>
    <row r="514" spans="1:24" x14ac:dyDescent="0.25">
      <c r="A514">
        <v>54443313</v>
      </c>
      <c r="B514" t="s">
        <v>51</v>
      </c>
      <c r="C514" t="s">
        <v>52</v>
      </c>
      <c r="D514" t="s">
        <v>338</v>
      </c>
      <c r="E514" t="s">
        <v>119</v>
      </c>
      <c r="F514" t="s">
        <v>339</v>
      </c>
      <c r="G514" t="s">
        <v>340</v>
      </c>
      <c r="H514">
        <v>0</v>
      </c>
      <c r="I514">
        <v>4</v>
      </c>
      <c r="J514" t="s">
        <v>341</v>
      </c>
      <c r="K514" t="s">
        <v>147</v>
      </c>
      <c r="L514">
        <v>320</v>
      </c>
      <c r="M514">
        <v>2020</v>
      </c>
      <c r="N514">
        <v>2020</v>
      </c>
      <c r="O514" s="2"/>
      <c r="P514" s="2">
        <v>44869</v>
      </c>
      <c r="Q514" t="s">
        <v>132</v>
      </c>
      <c r="R514" t="s">
        <v>342</v>
      </c>
      <c r="S514" t="s">
        <v>132</v>
      </c>
      <c r="T514" t="s">
        <v>119</v>
      </c>
      <c r="U514" t="s">
        <v>119</v>
      </c>
      <c r="V514" t="s">
        <v>119</v>
      </c>
      <c r="W514">
        <v>0</v>
      </c>
      <c r="X514">
        <v>0</v>
      </c>
    </row>
    <row r="515" spans="1:24" x14ac:dyDescent="0.25">
      <c r="A515">
        <v>866222</v>
      </c>
      <c r="B515" t="s">
        <v>2742</v>
      </c>
      <c r="C515" t="s">
        <v>2743</v>
      </c>
      <c r="D515" t="s">
        <v>2744</v>
      </c>
      <c r="E515" t="s">
        <v>2745</v>
      </c>
      <c r="F515" t="s">
        <v>2746</v>
      </c>
      <c r="G515" t="s">
        <v>2747</v>
      </c>
      <c r="H515">
        <v>4</v>
      </c>
      <c r="I515">
        <v>3.85</v>
      </c>
      <c r="J515" t="s">
        <v>381</v>
      </c>
      <c r="K515" t="s">
        <v>147</v>
      </c>
      <c r="L515">
        <v>384</v>
      </c>
      <c r="M515">
        <v>2005</v>
      </c>
      <c r="N515">
        <v>2005</v>
      </c>
      <c r="O515" s="2"/>
      <c r="P515" s="2">
        <v>42165</v>
      </c>
      <c r="Q515" t="s">
        <v>2322</v>
      </c>
      <c r="R515" t="s">
        <v>2748</v>
      </c>
      <c r="S515" t="s">
        <v>125</v>
      </c>
      <c r="T515" t="s">
        <v>119</v>
      </c>
      <c r="U515" t="s">
        <v>119</v>
      </c>
      <c r="V515" t="s">
        <v>119</v>
      </c>
      <c r="W515">
        <v>1</v>
      </c>
      <c r="X515">
        <v>0</v>
      </c>
    </row>
    <row r="516" spans="1:24" x14ac:dyDescent="0.25">
      <c r="A516">
        <v>43236017</v>
      </c>
      <c r="B516" t="s">
        <v>319</v>
      </c>
      <c r="C516" t="s">
        <v>320</v>
      </c>
      <c r="D516" t="s">
        <v>321</v>
      </c>
      <c r="E516" t="s">
        <v>119</v>
      </c>
      <c r="F516" t="s">
        <v>120</v>
      </c>
      <c r="G516" t="s">
        <v>120</v>
      </c>
      <c r="H516">
        <v>0</v>
      </c>
      <c r="I516">
        <v>4.38</v>
      </c>
      <c r="J516" t="s">
        <v>322</v>
      </c>
      <c r="K516" t="s">
        <v>122</v>
      </c>
      <c r="L516">
        <v>288</v>
      </c>
      <c r="M516">
        <v>2019</v>
      </c>
      <c r="N516">
        <v>1996</v>
      </c>
      <c r="O516" s="2"/>
      <c r="P516" s="2">
        <v>44490</v>
      </c>
      <c r="Q516" t="s">
        <v>132</v>
      </c>
      <c r="R516" t="s">
        <v>323</v>
      </c>
      <c r="S516" t="s">
        <v>132</v>
      </c>
      <c r="T516" t="s">
        <v>119</v>
      </c>
      <c r="U516" t="s">
        <v>119</v>
      </c>
      <c r="V516" t="s">
        <v>119</v>
      </c>
      <c r="W516">
        <v>0</v>
      </c>
      <c r="X516">
        <v>0</v>
      </c>
    </row>
    <row r="517" spans="1:24" x14ac:dyDescent="0.25">
      <c r="A517">
        <v>22875447</v>
      </c>
      <c r="B517" t="s">
        <v>63</v>
      </c>
      <c r="C517" t="s">
        <v>64</v>
      </c>
      <c r="D517" t="s">
        <v>809</v>
      </c>
      <c r="E517" t="s">
        <v>119</v>
      </c>
      <c r="F517" t="s">
        <v>810</v>
      </c>
      <c r="G517" t="s">
        <v>811</v>
      </c>
      <c r="H517">
        <v>3</v>
      </c>
      <c r="I517">
        <v>4.1399999999999997</v>
      </c>
      <c r="J517" t="s">
        <v>812</v>
      </c>
      <c r="K517" t="s">
        <v>147</v>
      </c>
      <c r="L517">
        <v>406</v>
      </c>
      <c r="M517">
        <v>2015</v>
      </c>
      <c r="N517">
        <v>2015</v>
      </c>
      <c r="O517" s="2">
        <v>44485</v>
      </c>
      <c r="P517" s="2">
        <v>44470</v>
      </c>
      <c r="Q517" t="s">
        <v>119</v>
      </c>
      <c r="R517" t="s">
        <v>119</v>
      </c>
      <c r="S517" t="s">
        <v>125</v>
      </c>
      <c r="T517" t="s">
        <v>119</v>
      </c>
      <c r="U517" t="s">
        <v>119</v>
      </c>
      <c r="V517" t="s">
        <v>119</v>
      </c>
      <c r="W517">
        <v>1</v>
      </c>
      <c r="X517">
        <v>0</v>
      </c>
    </row>
    <row r="518" spans="1:24" x14ac:dyDescent="0.25">
      <c r="A518">
        <v>53138083</v>
      </c>
      <c r="B518" t="s">
        <v>539</v>
      </c>
      <c r="C518" t="s">
        <v>540</v>
      </c>
      <c r="D518" t="s">
        <v>541</v>
      </c>
      <c r="E518" t="s">
        <v>542</v>
      </c>
      <c r="F518" t="s">
        <v>543</v>
      </c>
      <c r="G518" t="s">
        <v>544</v>
      </c>
      <c r="H518">
        <v>0</v>
      </c>
      <c r="I518">
        <v>4.24</v>
      </c>
      <c r="J518" t="s">
        <v>519</v>
      </c>
      <c r="K518" t="s">
        <v>147</v>
      </c>
      <c r="L518">
        <v>304</v>
      </c>
      <c r="M518">
        <v>2021</v>
      </c>
      <c r="N518">
        <v>2021</v>
      </c>
      <c r="O518" s="2"/>
      <c r="P518" s="2">
        <v>44655</v>
      </c>
      <c r="Q518" t="s">
        <v>132</v>
      </c>
      <c r="R518" t="s">
        <v>545</v>
      </c>
      <c r="S518" t="s">
        <v>132</v>
      </c>
      <c r="T518" t="s">
        <v>119</v>
      </c>
      <c r="U518" t="s">
        <v>119</v>
      </c>
      <c r="V518" t="s">
        <v>119</v>
      </c>
      <c r="W518">
        <v>0</v>
      </c>
      <c r="X518">
        <v>0</v>
      </c>
    </row>
    <row r="519" spans="1:24" x14ac:dyDescent="0.25">
      <c r="A519">
        <v>25800993</v>
      </c>
      <c r="B519" t="s">
        <v>2614</v>
      </c>
      <c r="C519" t="s">
        <v>2615</v>
      </c>
      <c r="D519" t="s">
        <v>2616</v>
      </c>
      <c r="E519" t="s">
        <v>119</v>
      </c>
      <c r="F519" t="s">
        <v>120</v>
      </c>
      <c r="G519" t="s">
        <v>120</v>
      </c>
      <c r="H519">
        <v>5</v>
      </c>
      <c r="I519">
        <v>4.25</v>
      </c>
      <c r="J519" t="s">
        <v>2617</v>
      </c>
      <c r="K519" t="s">
        <v>122</v>
      </c>
      <c r="L519">
        <v>339</v>
      </c>
      <c r="M519">
        <v>2015</v>
      </c>
      <c r="N519">
        <v>2015</v>
      </c>
      <c r="O519" s="2">
        <v>42812</v>
      </c>
      <c r="P519" s="2">
        <v>42785</v>
      </c>
      <c r="Q519" t="s">
        <v>119</v>
      </c>
      <c r="R519" t="s">
        <v>119</v>
      </c>
      <c r="S519" t="s">
        <v>125</v>
      </c>
      <c r="T519" t="s">
        <v>119</v>
      </c>
      <c r="U519" t="s">
        <v>119</v>
      </c>
      <c r="V519" t="s">
        <v>119</v>
      </c>
      <c r="W519">
        <v>1</v>
      </c>
      <c r="X519">
        <v>0</v>
      </c>
    </row>
    <row r="520" spans="1:24" x14ac:dyDescent="0.25">
      <c r="A520">
        <v>44905</v>
      </c>
      <c r="B520" t="s">
        <v>1596</v>
      </c>
      <c r="C520" t="s">
        <v>1597</v>
      </c>
      <c r="D520" t="s">
        <v>1598</v>
      </c>
      <c r="E520" t="s">
        <v>119</v>
      </c>
      <c r="F520" t="s">
        <v>1599</v>
      </c>
      <c r="G520" t="s">
        <v>1600</v>
      </c>
      <c r="H520">
        <v>0</v>
      </c>
      <c r="I520">
        <v>4.2</v>
      </c>
      <c r="J520" t="s">
        <v>1601</v>
      </c>
      <c r="K520" t="s">
        <v>140</v>
      </c>
      <c r="L520">
        <v>312</v>
      </c>
      <c r="M520">
        <v>2006</v>
      </c>
      <c r="N520">
        <v>1986</v>
      </c>
      <c r="O520" s="2"/>
      <c r="P520" s="2">
        <v>43937</v>
      </c>
      <c r="Q520" t="s">
        <v>132</v>
      </c>
      <c r="R520" t="s">
        <v>1602</v>
      </c>
      <c r="S520" t="s">
        <v>132</v>
      </c>
      <c r="T520" t="s">
        <v>119</v>
      </c>
      <c r="U520" t="s">
        <v>119</v>
      </c>
      <c r="V520" t="s">
        <v>119</v>
      </c>
      <c r="W520">
        <v>0</v>
      </c>
      <c r="X520">
        <v>0</v>
      </c>
    </row>
    <row r="521" spans="1:24" x14ac:dyDescent="0.25">
      <c r="A521">
        <v>35405026</v>
      </c>
      <c r="B521" t="s">
        <v>419</v>
      </c>
      <c r="C521" t="s">
        <v>420</v>
      </c>
      <c r="D521" t="s">
        <v>421</v>
      </c>
      <c r="E521" t="s">
        <v>119</v>
      </c>
      <c r="F521" t="s">
        <v>422</v>
      </c>
      <c r="G521" t="s">
        <v>423</v>
      </c>
      <c r="H521">
        <v>0</v>
      </c>
      <c r="I521">
        <v>4.41</v>
      </c>
      <c r="J521" t="s">
        <v>424</v>
      </c>
      <c r="K521" t="s">
        <v>147</v>
      </c>
      <c r="L521">
        <v>416</v>
      </c>
      <c r="M521">
        <v>2017</v>
      </c>
      <c r="N521">
        <v>2017</v>
      </c>
      <c r="O521" s="2"/>
      <c r="P521" s="2">
        <v>44572</v>
      </c>
      <c r="Q521" t="s">
        <v>265</v>
      </c>
      <c r="R521" t="s">
        <v>425</v>
      </c>
      <c r="S521" t="s">
        <v>265</v>
      </c>
      <c r="T521" t="s">
        <v>119</v>
      </c>
      <c r="U521" t="s">
        <v>119</v>
      </c>
      <c r="V521" t="s">
        <v>119</v>
      </c>
      <c r="W521">
        <v>1</v>
      </c>
      <c r="X521">
        <v>0</v>
      </c>
    </row>
    <row r="522" spans="1:24" x14ac:dyDescent="0.25">
      <c r="A522">
        <v>6366371</v>
      </c>
      <c r="B522" t="s">
        <v>1395</v>
      </c>
      <c r="C522" t="s">
        <v>197</v>
      </c>
      <c r="D522" t="s">
        <v>198</v>
      </c>
      <c r="E522" t="s">
        <v>1396</v>
      </c>
      <c r="F522" t="s">
        <v>1397</v>
      </c>
      <c r="G522" t="s">
        <v>1398</v>
      </c>
      <c r="H522">
        <v>5</v>
      </c>
      <c r="I522">
        <v>4.2699999999999996</v>
      </c>
      <c r="J522" t="s">
        <v>444</v>
      </c>
      <c r="K522" t="s">
        <v>147</v>
      </c>
      <c r="L522">
        <v>143</v>
      </c>
      <c r="M522">
        <v>2009</v>
      </c>
      <c r="N522">
        <v>2004</v>
      </c>
      <c r="O522" s="2">
        <v>44063</v>
      </c>
      <c r="P522" s="2">
        <v>43016</v>
      </c>
      <c r="Q522" t="s">
        <v>119</v>
      </c>
      <c r="R522" t="s">
        <v>119</v>
      </c>
      <c r="S522" t="s">
        <v>125</v>
      </c>
      <c r="T522" t="s">
        <v>119</v>
      </c>
      <c r="U522" t="s">
        <v>119</v>
      </c>
      <c r="V522" t="s">
        <v>119</v>
      </c>
      <c r="W522">
        <v>1</v>
      </c>
      <c r="X522">
        <v>0</v>
      </c>
    </row>
    <row r="523" spans="1:24" x14ac:dyDescent="0.25">
      <c r="A523">
        <v>35202699</v>
      </c>
      <c r="B523" t="s">
        <v>2460</v>
      </c>
      <c r="C523" t="s">
        <v>2461</v>
      </c>
      <c r="D523" t="s">
        <v>2462</v>
      </c>
      <c r="E523" t="s">
        <v>119</v>
      </c>
      <c r="F523" t="s">
        <v>120</v>
      </c>
      <c r="G523" t="s">
        <v>120</v>
      </c>
      <c r="H523">
        <v>1</v>
      </c>
      <c r="I523">
        <v>3.99</v>
      </c>
      <c r="J523" t="s">
        <v>119</v>
      </c>
      <c r="K523" t="s">
        <v>122</v>
      </c>
      <c r="L523">
        <v>226</v>
      </c>
      <c r="M523">
        <v>2017</v>
      </c>
      <c r="O523" s="2">
        <v>42952</v>
      </c>
      <c r="P523" s="2">
        <v>42906</v>
      </c>
      <c r="Q523" t="s">
        <v>2362</v>
      </c>
      <c r="R523" t="s">
        <v>2463</v>
      </c>
      <c r="S523" t="s">
        <v>125</v>
      </c>
      <c r="T523" t="s">
        <v>119</v>
      </c>
      <c r="U523" t="s">
        <v>119</v>
      </c>
      <c r="V523" t="s">
        <v>119</v>
      </c>
      <c r="W523">
        <v>1</v>
      </c>
      <c r="X523">
        <v>0</v>
      </c>
    </row>
    <row r="524" spans="1:24" x14ac:dyDescent="0.25">
      <c r="A524">
        <v>629</v>
      </c>
      <c r="B524" t="s">
        <v>2267</v>
      </c>
      <c r="C524" t="s">
        <v>2268</v>
      </c>
      <c r="D524" t="s">
        <v>2269</v>
      </c>
      <c r="E524" t="s">
        <v>119</v>
      </c>
      <c r="F524" t="s">
        <v>2270</v>
      </c>
      <c r="G524" t="s">
        <v>2271</v>
      </c>
      <c r="H524">
        <v>0</v>
      </c>
      <c r="I524">
        <v>3.78</v>
      </c>
      <c r="J524" t="s">
        <v>2272</v>
      </c>
      <c r="K524" t="s">
        <v>157</v>
      </c>
      <c r="L524">
        <v>540</v>
      </c>
      <c r="M524">
        <v>2006</v>
      </c>
      <c r="N524">
        <v>1974</v>
      </c>
      <c r="O524" s="2"/>
      <c r="P524" s="2">
        <v>42165</v>
      </c>
      <c r="Q524" t="s">
        <v>132</v>
      </c>
      <c r="R524" t="s">
        <v>2273</v>
      </c>
      <c r="S524" t="s">
        <v>132</v>
      </c>
      <c r="T524" t="s">
        <v>119</v>
      </c>
      <c r="U524" t="s">
        <v>119</v>
      </c>
      <c r="V524" t="s">
        <v>119</v>
      </c>
      <c r="W524">
        <v>0</v>
      </c>
      <c r="X524">
        <v>0</v>
      </c>
    </row>
    <row r="525" spans="1:24" x14ac:dyDescent="0.25">
      <c r="A525">
        <v>103758</v>
      </c>
      <c r="B525" t="s">
        <v>76</v>
      </c>
      <c r="C525" t="s">
        <v>77</v>
      </c>
      <c r="D525" t="s">
        <v>2219</v>
      </c>
      <c r="E525" t="s">
        <v>2220</v>
      </c>
      <c r="F525" t="s">
        <v>2221</v>
      </c>
      <c r="G525" t="s">
        <v>2222</v>
      </c>
      <c r="H525">
        <v>0</v>
      </c>
      <c r="I525">
        <v>4</v>
      </c>
      <c r="J525" t="s">
        <v>436</v>
      </c>
      <c r="K525" t="s">
        <v>157</v>
      </c>
      <c r="L525">
        <v>81</v>
      </c>
      <c r="M525">
        <v>1999</v>
      </c>
      <c r="N525">
        <v>1948</v>
      </c>
      <c r="O525" s="2"/>
      <c r="P525" s="2">
        <v>43394</v>
      </c>
      <c r="Q525" t="s">
        <v>132</v>
      </c>
      <c r="R525" t="s">
        <v>2223</v>
      </c>
      <c r="S525" t="s">
        <v>132</v>
      </c>
      <c r="T525" t="s">
        <v>119</v>
      </c>
      <c r="U525" t="s">
        <v>119</v>
      </c>
      <c r="V525" t="s">
        <v>119</v>
      </c>
      <c r="W525">
        <v>0</v>
      </c>
      <c r="X525">
        <v>0</v>
      </c>
    </row>
    <row r="526" spans="1:24" x14ac:dyDescent="0.25">
      <c r="A526">
        <v>35063826</v>
      </c>
      <c r="B526" t="s">
        <v>991</v>
      </c>
      <c r="C526" t="s">
        <v>634</v>
      </c>
      <c r="D526" t="s">
        <v>635</v>
      </c>
      <c r="E526" t="s">
        <v>119</v>
      </c>
      <c r="F526" t="s">
        <v>120</v>
      </c>
      <c r="G526" t="s">
        <v>120</v>
      </c>
      <c r="H526">
        <v>0</v>
      </c>
      <c r="I526">
        <v>4.09</v>
      </c>
      <c r="J526" t="s">
        <v>992</v>
      </c>
      <c r="K526" t="s">
        <v>122</v>
      </c>
      <c r="L526">
        <v>126</v>
      </c>
      <c r="M526">
        <v>2017</v>
      </c>
      <c r="N526">
        <v>1973</v>
      </c>
      <c r="O526" s="2"/>
      <c r="P526" s="2">
        <v>43328</v>
      </c>
      <c r="Q526" t="s">
        <v>265</v>
      </c>
      <c r="R526" t="s">
        <v>993</v>
      </c>
      <c r="S526" t="s">
        <v>265</v>
      </c>
      <c r="T526" t="s">
        <v>119</v>
      </c>
      <c r="U526" t="s">
        <v>119</v>
      </c>
      <c r="V526" t="s">
        <v>119</v>
      </c>
      <c r="W526">
        <v>1</v>
      </c>
      <c r="X526">
        <v>0</v>
      </c>
    </row>
    <row r="527" spans="1:24" x14ac:dyDescent="0.25">
      <c r="A527">
        <v>402843</v>
      </c>
      <c r="B527" t="s">
        <v>133</v>
      </c>
      <c r="C527" t="s">
        <v>134</v>
      </c>
      <c r="D527" t="s">
        <v>135</v>
      </c>
      <c r="E527" t="s">
        <v>136</v>
      </c>
      <c r="F527" t="s">
        <v>137</v>
      </c>
      <c r="G527" t="s">
        <v>138</v>
      </c>
      <c r="H527">
        <v>4</v>
      </c>
      <c r="I527">
        <v>4.21</v>
      </c>
      <c r="J527" t="s">
        <v>139</v>
      </c>
      <c r="K527" t="s">
        <v>140</v>
      </c>
      <c r="L527">
        <v>138</v>
      </c>
      <c r="M527">
        <v>1973</v>
      </c>
      <c r="N527">
        <v>1970</v>
      </c>
      <c r="O527" s="2">
        <v>44224</v>
      </c>
      <c r="P527" s="2">
        <v>43903</v>
      </c>
      <c r="Q527" t="s">
        <v>119</v>
      </c>
      <c r="R527" t="s">
        <v>119</v>
      </c>
      <c r="S527" t="s">
        <v>125</v>
      </c>
      <c r="T527" t="s">
        <v>119</v>
      </c>
      <c r="U527" t="s">
        <v>119</v>
      </c>
      <c r="V527" t="s">
        <v>119</v>
      </c>
      <c r="W527">
        <v>1</v>
      </c>
      <c r="X527">
        <v>0</v>
      </c>
    </row>
    <row r="528" spans="1:24" x14ac:dyDescent="0.25">
      <c r="A528">
        <v>18050143</v>
      </c>
      <c r="B528" t="s">
        <v>2024</v>
      </c>
      <c r="C528" t="s">
        <v>2025</v>
      </c>
      <c r="D528" t="s">
        <v>2026</v>
      </c>
      <c r="E528" t="s">
        <v>2027</v>
      </c>
      <c r="F528" t="s">
        <v>2028</v>
      </c>
      <c r="G528" t="s">
        <v>2029</v>
      </c>
      <c r="H528">
        <v>0</v>
      </c>
      <c r="I528">
        <v>4.18</v>
      </c>
      <c r="J528" t="s">
        <v>1330</v>
      </c>
      <c r="K528" t="s">
        <v>147</v>
      </c>
      <c r="L528">
        <v>195</v>
      </c>
      <c r="M528">
        <v>2014</v>
      </c>
      <c r="N528">
        <v>2014</v>
      </c>
      <c r="O528" s="2"/>
      <c r="P528" s="2">
        <v>43545</v>
      </c>
      <c r="Q528" t="s">
        <v>132</v>
      </c>
      <c r="R528" t="s">
        <v>2030</v>
      </c>
      <c r="S528" t="s">
        <v>132</v>
      </c>
      <c r="T528" t="s">
        <v>119</v>
      </c>
      <c r="U528" t="s">
        <v>119</v>
      </c>
      <c r="V528" t="s">
        <v>119</v>
      </c>
      <c r="W528">
        <v>0</v>
      </c>
      <c r="X528">
        <v>0</v>
      </c>
    </row>
  </sheetData>
  <pageMargins left="0.7" right="0.7" top="0.75" bottom="0.75" header="0.3" footer="0.3"/>
  <pageSetup paperSize="9"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06324A-792D-42BB-A0B2-75D4F30D5A6D}">
  <dimension ref="A1:K57"/>
  <sheetViews>
    <sheetView tabSelected="1" workbookViewId="0">
      <pane ySplit="1" topLeftCell="A26" activePane="bottomLeft" state="frozen"/>
      <selection pane="bottomLeft" activeCell="A58" sqref="A58"/>
    </sheetView>
  </sheetViews>
  <sheetFormatPr defaultRowHeight="15" x14ac:dyDescent="0.25"/>
  <cols>
    <col min="1" max="1" width="9.85546875" bestFit="1" customWidth="1"/>
    <col min="2" max="2" width="15.7109375" customWidth="1"/>
    <col min="3" max="3" width="84.7109375" customWidth="1"/>
    <col min="4" max="4" width="22.5703125" bestFit="1" customWidth="1"/>
    <col min="5" max="5" width="16" style="3" bestFit="1" customWidth="1"/>
    <col min="6" max="6" width="16" bestFit="1" customWidth="1"/>
    <col min="7" max="7" width="9.140625" bestFit="1" customWidth="1"/>
    <col min="8" max="9" width="26.140625" bestFit="1" customWidth="1"/>
    <col min="10" max="10" width="17.140625" bestFit="1" customWidth="1"/>
  </cols>
  <sheetData>
    <row r="1" spans="1:11" x14ac:dyDescent="0.25">
      <c r="A1" t="s">
        <v>94</v>
      </c>
      <c r="B1" t="s">
        <v>2987</v>
      </c>
      <c r="C1" t="s">
        <v>0</v>
      </c>
      <c r="D1" t="s">
        <v>13</v>
      </c>
      <c r="E1" s="2" t="s">
        <v>1</v>
      </c>
      <c r="F1" s="3" t="s">
        <v>2</v>
      </c>
      <c r="G1" t="s">
        <v>16</v>
      </c>
      <c r="H1" t="s">
        <v>3</v>
      </c>
      <c r="I1" t="s">
        <v>2988</v>
      </c>
      <c r="J1" t="s">
        <v>2989</v>
      </c>
      <c r="K1" t="s">
        <v>2990</v>
      </c>
    </row>
    <row r="2" spans="1:11" x14ac:dyDescent="0.25">
      <c r="A2">
        <v>38820046</v>
      </c>
      <c r="C2" s="1" t="s">
        <v>86</v>
      </c>
      <c r="E2" s="2">
        <v>43969</v>
      </c>
      <c r="F2" s="3">
        <v>2.63</v>
      </c>
      <c r="G2">
        <v>2.99</v>
      </c>
      <c r="H2" s="5" t="s">
        <v>6</v>
      </c>
      <c r="I2" s="1" t="str">
        <f>HYPERLINK(_xlfn.CONCAT("https://smile.",LOWER(Table1[[#This Row],[Purchased at]]),"/dp/",Table1[[#This Row],[ASIN]]),"Link")</f>
        <v>Link</v>
      </c>
      <c r="J2" s="1" t="str">
        <f>HYPERLINK(_xlfn.CONCAT("https://www.goodreads.com/book/show/",Table1[[#This Row],[Book Id]]),"Link")</f>
        <v>Link</v>
      </c>
      <c r="K2" s="1" t="str">
        <f>HYPERLINK(_xlfn.CONCAT("https://www.goodreads.com/review/new/",Table1[[#This Row],[Book Id]]),"Link")</f>
        <v>Link</v>
      </c>
    </row>
    <row r="3" spans="1:11" x14ac:dyDescent="0.25">
      <c r="A3">
        <v>30244626</v>
      </c>
      <c r="C3" s="1" t="s">
        <v>84</v>
      </c>
      <c r="D3" t="s">
        <v>85</v>
      </c>
      <c r="E3" s="2">
        <v>44006</v>
      </c>
      <c r="F3" s="3">
        <v>3.62</v>
      </c>
      <c r="G3">
        <v>3.99</v>
      </c>
      <c r="H3" s="5" t="s">
        <v>6</v>
      </c>
      <c r="I3" s="1" t="str">
        <f>HYPERLINK(_xlfn.CONCAT("https://smile.",LOWER(Table1[[#This Row],[Purchased at]]),"/dp/",Table1[[#This Row],[ASIN]]),"Link")</f>
        <v>Link</v>
      </c>
      <c r="J3" s="1" t="str">
        <f>HYPERLINK(_xlfn.CONCAT("https://www.goodreads.com/book/show/",Table1[[#This Row],[Book Id]]),"Link")</f>
        <v>Link</v>
      </c>
      <c r="K3" s="1" t="str">
        <f>HYPERLINK(_xlfn.CONCAT("https://www.goodreads.com/review/new/",Table1[[#This Row],[Book Id]]),"Link")</f>
        <v>Link</v>
      </c>
    </row>
    <row r="4" spans="1:11" x14ac:dyDescent="0.25">
      <c r="A4">
        <v>25733505</v>
      </c>
      <c r="C4" t="s">
        <v>23</v>
      </c>
      <c r="E4" s="2">
        <v>44845</v>
      </c>
      <c r="F4" s="3">
        <v>3.99</v>
      </c>
      <c r="H4" t="s">
        <v>5</v>
      </c>
      <c r="I4" s="1" t="str">
        <f>HYPERLINK(_xlfn.CONCAT("https://smile.",LOWER(Table1[[#This Row],[Purchased at]]),"/dp/",Table1[[#This Row],[ASIN]]),"Link")</f>
        <v>Link</v>
      </c>
      <c r="J4" s="1" t="str">
        <f>HYPERLINK(_xlfn.CONCAT("https://www.goodreads.com/book/show/",Table1[[#This Row],[Book Id]]),"Link")</f>
        <v>Link</v>
      </c>
      <c r="K4" s="1" t="str">
        <f>HYPERLINK(_xlfn.CONCAT("https://www.goodreads.com/review/new/",Table1[[#This Row],[Book Id]]),"Link")</f>
        <v>Link</v>
      </c>
    </row>
    <row r="5" spans="1:11" x14ac:dyDescent="0.25">
      <c r="A5">
        <v>35062081</v>
      </c>
      <c r="C5" t="s">
        <v>57</v>
      </c>
      <c r="D5" t="s">
        <v>17</v>
      </c>
      <c r="E5" s="2">
        <v>44938</v>
      </c>
      <c r="F5" s="3">
        <v>2.84</v>
      </c>
      <c r="G5">
        <v>2.99</v>
      </c>
      <c r="H5" t="s">
        <v>6</v>
      </c>
      <c r="I5" s="1" t="str">
        <f>HYPERLINK(_xlfn.CONCAT("https://smile.",LOWER(Table1[[#This Row],[Purchased at]]),"/dp/",Table1[[#This Row],[ASIN]]),"Link")</f>
        <v>Link</v>
      </c>
      <c r="J5" s="1" t="str">
        <f>HYPERLINK(_xlfn.CONCAT("https://www.goodreads.com/book/show/",Table1[[#This Row],[Book Id]]),"Link")</f>
        <v>Link</v>
      </c>
      <c r="K5" s="1" t="str">
        <f>HYPERLINK(_xlfn.CONCAT("https://www.goodreads.com/review/new/",Table1[[#This Row],[Book Id]]),"Link")</f>
        <v>Link</v>
      </c>
    </row>
    <row r="6" spans="1:11" x14ac:dyDescent="0.25">
      <c r="C6" s="1" t="s">
        <v>65</v>
      </c>
      <c r="D6" t="s">
        <v>66</v>
      </c>
      <c r="E6" s="2">
        <v>44456</v>
      </c>
      <c r="F6" s="3"/>
      <c r="G6">
        <v>0</v>
      </c>
      <c r="H6" t="s">
        <v>6</v>
      </c>
      <c r="I6" s="1" t="str">
        <f>HYPERLINK(_xlfn.CONCAT("https://smile.",LOWER(Table1[[#This Row],[Purchased at]]),"/dp/",Table1[[#This Row],[ASIN]]),"Link")</f>
        <v>Link</v>
      </c>
      <c r="J6" s="1" t="str">
        <f>HYPERLINK(_xlfn.CONCAT("https://www.goodreads.com/book/show/",Table1[[#This Row],[Book Id]]),"Link")</f>
        <v>Link</v>
      </c>
      <c r="K6" s="1" t="str">
        <f>HYPERLINK(_xlfn.CONCAT("https://www.goodreads.com/review/new/",Table1[[#This Row],[Book Id]]),"Link")</f>
        <v>Link</v>
      </c>
    </row>
    <row r="7" spans="1:11" x14ac:dyDescent="0.25">
      <c r="A7">
        <v>59337058</v>
      </c>
      <c r="C7" t="s">
        <v>18</v>
      </c>
      <c r="D7" t="s">
        <v>21</v>
      </c>
      <c r="E7" s="2">
        <v>44906</v>
      </c>
      <c r="F7" s="3">
        <v>2.9</v>
      </c>
      <c r="H7" t="s">
        <v>6</v>
      </c>
      <c r="I7" s="1" t="str">
        <f>HYPERLINK(_xlfn.CONCAT("https://smile.",LOWER(Table1[[#This Row],[Purchased at]]),"/dp/",Table1[[#This Row],[ASIN]]),"Link")</f>
        <v>Link</v>
      </c>
      <c r="J7" s="1" t="str">
        <f>HYPERLINK(_xlfn.CONCAT("https://www.goodreads.com/book/show/",Table1[[#This Row],[Book Id]]),"Link")</f>
        <v>Link</v>
      </c>
      <c r="K7" s="1" t="str">
        <f>HYPERLINK(_xlfn.CONCAT("https://www.goodreads.com/review/new/",Table1[[#This Row],[Book Id]]),"Link")</f>
        <v>Link</v>
      </c>
    </row>
    <row r="8" spans="1:11" x14ac:dyDescent="0.25">
      <c r="A8">
        <v>40277241</v>
      </c>
      <c r="C8" t="s">
        <v>45</v>
      </c>
      <c r="D8" t="s">
        <v>46</v>
      </c>
      <c r="E8" s="2">
        <v>44873</v>
      </c>
      <c r="F8" s="3">
        <v>0.99</v>
      </c>
      <c r="H8" t="s">
        <v>5</v>
      </c>
      <c r="I8" s="1" t="str">
        <f>HYPERLINK(_xlfn.CONCAT("https://smile.",LOWER(Table1[[#This Row],[Purchased at]]),"/dp/",Table1[[#This Row],[ASIN]]),"Link")</f>
        <v>Link</v>
      </c>
      <c r="J8" s="1" t="str">
        <f>HYPERLINK(_xlfn.CONCAT("https://www.goodreads.com/book/show/",Table1[[#This Row],[Book Id]]),"Link")</f>
        <v>Link</v>
      </c>
      <c r="K8" s="1" t="str">
        <f>HYPERLINK(_xlfn.CONCAT("https://www.goodreads.com/review/new/",Table1[[#This Row],[Book Id]]),"Link")</f>
        <v>Link</v>
      </c>
    </row>
    <row r="9" spans="1:11" x14ac:dyDescent="0.25">
      <c r="A9">
        <v>13588356</v>
      </c>
      <c r="C9" s="1" t="s">
        <v>87</v>
      </c>
      <c r="E9" s="2">
        <v>43955</v>
      </c>
      <c r="F9" s="3">
        <v>1.86</v>
      </c>
      <c r="G9">
        <v>1.99</v>
      </c>
      <c r="H9" s="5" t="s">
        <v>6</v>
      </c>
      <c r="I9" s="1" t="str">
        <f>HYPERLINK(_xlfn.CONCAT("https://smile.",LOWER(Table1[[#This Row],[Purchased at]]),"/dp/",Table1[[#This Row],[ASIN]]),"Link")</f>
        <v>Link</v>
      </c>
      <c r="J9" s="1" t="str">
        <f>HYPERLINK(_xlfn.CONCAT("https://www.goodreads.com/book/show/",Table1[[#This Row],[Book Id]]),"Link")</f>
        <v>Link</v>
      </c>
      <c r="K9" s="1" t="str">
        <f>HYPERLINK(_xlfn.CONCAT("https://www.goodreads.com/review/new/",Table1[[#This Row],[Book Id]]),"Link")</f>
        <v>Link</v>
      </c>
    </row>
    <row r="10" spans="1:11" x14ac:dyDescent="0.25">
      <c r="A10">
        <v>52913899</v>
      </c>
      <c r="C10" t="s">
        <v>20</v>
      </c>
      <c r="E10" s="2">
        <v>44911</v>
      </c>
      <c r="F10" s="3">
        <v>2.99</v>
      </c>
      <c r="H10" t="s">
        <v>5</v>
      </c>
      <c r="I10" s="1" t="str">
        <f>HYPERLINK(_xlfn.CONCAT("https://smile.",LOWER(Table1[[#This Row],[Purchased at]]),"/dp/",Table1[[#This Row],[ASIN]]),"Link")</f>
        <v>Link</v>
      </c>
      <c r="J10" s="1" t="str">
        <f>HYPERLINK(_xlfn.CONCAT("https://www.goodreads.com/book/show/",Table1[[#This Row],[Book Id]]),"Link")</f>
        <v>Link</v>
      </c>
      <c r="K10" s="1" t="str">
        <f>HYPERLINK(_xlfn.CONCAT("https://www.goodreads.com/review/new/",Table1[[#This Row],[Book Id]]),"Link")</f>
        <v>Link</v>
      </c>
    </row>
    <row r="11" spans="1:11" x14ac:dyDescent="0.25">
      <c r="A11">
        <v>18883615</v>
      </c>
      <c r="B11" t="s">
        <v>2994</v>
      </c>
      <c r="C11" s="1" t="s">
        <v>53</v>
      </c>
      <c r="D11" t="s">
        <v>54</v>
      </c>
      <c r="E11" s="2">
        <v>44867</v>
      </c>
      <c r="F11" s="3">
        <v>2.0499999999999998</v>
      </c>
      <c r="H11" t="s">
        <v>6</v>
      </c>
      <c r="I11" s="1" t="str">
        <f>HYPERLINK(_xlfn.CONCAT("https://smile.",LOWER(Table1[[#This Row],[Purchased at]]),"/dp/",Table1[[#This Row],[ASIN]]),"Link")</f>
        <v>Link</v>
      </c>
      <c r="J11" s="1" t="str">
        <f>HYPERLINK(_xlfn.CONCAT("https://www.goodreads.com/book/show/",Table1[[#This Row],[Book Id]]),"Link")</f>
        <v>Link</v>
      </c>
      <c r="K11" s="1" t="str">
        <f>HYPERLINK(_xlfn.CONCAT("https://www.goodreads.com/review/new/",Table1[[#This Row],[Book Id]]),"Link")</f>
        <v>Link</v>
      </c>
    </row>
    <row r="12" spans="1:11" x14ac:dyDescent="0.25">
      <c r="A12">
        <v>17615962</v>
      </c>
      <c r="C12" t="s">
        <v>27</v>
      </c>
      <c r="D12" t="s">
        <v>36</v>
      </c>
      <c r="E12" s="2">
        <v>44777</v>
      </c>
      <c r="F12" s="3">
        <v>1.99</v>
      </c>
      <c r="H12" t="s">
        <v>6</v>
      </c>
      <c r="I12" s="1" t="str">
        <f>HYPERLINK(_xlfn.CONCAT("https://smile.",LOWER(Table1[[#This Row],[Purchased at]]),"/dp/",Table1[[#This Row],[ASIN]]),"Link")</f>
        <v>Link</v>
      </c>
      <c r="J12" s="1" t="str">
        <f>HYPERLINK(_xlfn.CONCAT("https://www.goodreads.com/book/show/",Table1[[#This Row],[Book Id]]),"Link")</f>
        <v>Link</v>
      </c>
      <c r="K12" s="1" t="str">
        <f>HYPERLINK(_xlfn.CONCAT("https://www.goodreads.com/review/new/",Table1[[#This Row],[Book Id]]),"Link")</f>
        <v>Link</v>
      </c>
    </row>
    <row r="13" spans="1:11" x14ac:dyDescent="0.25">
      <c r="A13">
        <v>53398908</v>
      </c>
      <c r="C13" t="s">
        <v>28</v>
      </c>
      <c r="D13" t="s">
        <v>35</v>
      </c>
      <c r="E13" s="2">
        <v>44789</v>
      </c>
      <c r="F13" s="3">
        <v>2.99</v>
      </c>
      <c r="H13" t="s">
        <v>6</v>
      </c>
      <c r="I13" s="1" t="str">
        <f>HYPERLINK(_xlfn.CONCAT("https://smile.",LOWER(Table1[[#This Row],[Purchased at]]),"/dp/",Table1[[#This Row],[ASIN]]),"Link")</f>
        <v>Link</v>
      </c>
      <c r="J13" s="1" t="str">
        <f>HYPERLINK(_xlfn.CONCAT("https://www.goodreads.com/book/show/",Table1[[#This Row],[Book Id]]),"Link")</f>
        <v>Link</v>
      </c>
      <c r="K13" s="1" t="str">
        <f>HYPERLINK(_xlfn.CONCAT("https://www.goodreads.com/review/new/",Table1[[#This Row],[Book Id]]),"Link")</f>
        <v>Link</v>
      </c>
    </row>
    <row r="14" spans="1:11" s="4" customFormat="1" x14ac:dyDescent="0.25">
      <c r="A14">
        <v>62314641</v>
      </c>
      <c r="B14"/>
      <c r="C14" t="s">
        <v>55</v>
      </c>
      <c r="D14" t="s">
        <v>56</v>
      </c>
      <c r="E14" s="2">
        <v>44942</v>
      </c>
      <c r="F14" s="3">
        <v>1.88</v>
      </c>
      <c r="G14">
        <v>1.99</v>
      </c>
      <c r="H14" t="s">
        <v>6</v>
      </c>
      <c r="I14" s="1" t="str">
        <f>HYPERLINK(_xlfn.CONCAT("https://smile.",LOWER(Table1[[#This Row],[Purchased at]]),"/dp/",Table1[[#This Row],[ASIN]]),"Link")</f>
        <v>Link</v>
      </c>
      <c r="J14" s="1" t="str">
        <f>HYPERLINK(_xlfn.CONCAT("https://www.goodreads.com/book/show/",Table1[[#This Row],[Book Id]]),"Link")</f>
        <v>Link</v>
      </c>
      <c r="K14" s="1" t="str">
        <f>HYPERLINK(_xlfn.CONCAT("https://www.goodreads.com/review/new/",Table1[[#This Row],[Book Id]]),"Link")</f>
        <v>Link</v>
      </c>
    </row>
    <row r="15" spans="1:11" x14ac:dyDescent="0.25">
      <c r="A15">
        <v>30227731</v>
      </c>
      <c r="C15" s="1" t="s">
        <v>75</v>
      </c>
      <c r="E15" s="2">
        <v>44286</v>
      </c>
      <c r="F15" s="3"/>
      <c r="G15">
        <v>1.99</v>
      </c>
      <c r="H15" s="5" t="s">
        <v>6</v>
      </c>
      <c r="I15" s="1" t="str">
        <f>HYPERLINK(_xlfn.CONCAT("https://smile.",LOWER(Table1[[#This Row],[Purchased at]]),"/dp/",Table1[[#This Row],[ASIN]]),"Link")</f>
        <v>Link</v>
      </c>
      <c r="J15" s="1" t="str">
        <f>HYPERLINK(_xlfn.CONCAT("https://www.goodreads.com/book/show/",Table1[[#This Row],[Book Id]]),"Link")</f>
        <v>Link</v>
      </c>
      <c r="K15" s="1" t="str">
        <f>HYPERLINK(_xlfn.CONCAT("https://www.goodreads.com/review/new/",Table1[[#This Row],[Book Id]]),"Link")</f>
        <v>Link</v>
      </c>
    </row>
    <row r="16" spans="1:11" x14ac:dyDescent="0.25">
      <c r="A16">
        <v>31138556</v>
      </c>
      <c r="C16" s="1" t="s">
        <v>49</v>
      </c>
      <c r="D16" t="s">
        <v>50</v>
      </c>
      <c r="E16" s="2">
        <v>44872</v>
      </c>
      <c r="F16" s="3">
        <v>1.99</v>
      </c>
      <c r="H16" t="s">
        <v>5</v>
      </c>
      <c r="I16" s="1" t="str">
        <f>HYPERLINK(_xlfn.CONCAT("https://smile.",LOWER(Table1[[#This Row],[Purchased at]]),"/dp/",Table1[[#This Row],[ASIN]]),"Link")</f>
        <v>Link</v>
      </c>
      <c r="J16" s="1" t="str">
        <f>HYPERLINK(_xlfn.CONCAT("https://www.goodreads.com/book/show/",Table1[[#This Row],[Book Id]]),"Link")</f>
        <v>Link</v>
      </c>
      <c r="K16" s="1" t="str">
        <f>HYPERLINK(_xlfn.CONCAT("https://www.goodreads.com/review/new/",Table1[[#This Row],[Book Id]]),"Link")</f>
        <v>Link</v>
      </c>
    </row>
    <row r="17" spans="1:11" x14ac:dyDescent="0.25">
      <c r="A17">
        <v>57653663</v>
      </c>
      <c r="B17" t="s">
        <v>2995</v>
      </c>
      <c r="C17" s="1" t="s">
        <v>67</v>
      </c>
      <c r="D17" s="5" t="s">
        <v>68</v>
      </c>
      <c r="E17" s="2">
        <v>44350</v>
      </c>
      <c r="F17" s="6"/>
      <c r="G17">
        <v>0.99</v>
      </c>
      <c r="H17" s="5" t="s">
        <v>6</v>
      </c>
      <c r="I17" s="1" t="str">
        <f>HYPERLINK(_xlfn.CONCAT("https://smile.",LOWER(Table1[[#This Row],[Purchased at]]),"/dp/",Table1[[#This Row],[ASIN]]),"Link")</f>
        <v>Link</v>
      </c>
      <c r="J17" s="1" t="str">
        <f>HYPERLINK(_xlfn.CONCAT("https://www.goodreads.com/book/show/",Table1[[#This Row],[Book Id]]),"Link")</f>
        <v>Link</v>
      </c>
      <c r="K17" s="1" t="str">
        <f>HYPERLINK(_xlfn.CONCAT("https://www.goodreads.com/review/new/",Table1[[#This Row],[Book Id]]),"Link")</f>
        <v>Link</v>
      </c>
    </row>
    <row r="18" spans="1:11" x14ac:dyDescent="0.25">
      <c r="A18">
        <v>6759</v>
      </c>
      <c r="C18" t="s">
        <v>19</v>
      </c>
      <c r="E18" s="2">
        <v>44909</v>
      </c>
      <c r="F18" s="3">
        <v>3.83</v>
      </c>
      <c r="H18" t="s">
        <v>6</v>
      </c>
      <c r="I18" s="1" t="str">
        <f>HYPERLINK(_xlfn.CONCAT("https://smile.",LOWER(Table1[[#This Row],[Purchased at]]),"/dp/",Table1[[#This Row],[ASIN]]),"Link")</f>
        <v>Link</v>
      </c>
      <c r="J18" s="1" t="str">
        <f>HYPERLINK(_xlfn.CONCAT("https://www.goodreads.com/book/show/",Table1[[#This Row],[Book Id]]),"Link")</f>
        <v>Link</v>
      </c>
      <c r="K18" s="1" t="str">
        <f>HYPERLINK(_xlfn.CONCAT("https://www.goodreads.com/review/new/",Table1[[#This Row],[Book Id]]),"Link")</f>
        <v>Link</v>
      </c>
    </row>
    <row r="19" spans="1:11" x14ac:dyDescent="0.25">
      <c r="A19">
        <v>4750652</v>
      </c>
      <c r="C19" t="s">
        <v>41</v>
      </c>
      <c r="D19" t="s">
        <v>42</v>
      </c>
      <c r="E19" s="2">
        <v>44882</v>
      </c>
      <c r="F19" s="3">
        <v>1.97</v>
      </c>
      <c r="G19">
        <v>1.99</v>
      </c>
      <c r="H19" t="s">
        <v>6</v>
      </c>
      <c r="I19" s="1" t="str">
        <f>HYPERLINK(_xlfn.CONCAT("https://smile.",LOWER(Table1[[#This Row],[Purchased at]]),"/dp/",Table1[[#This Row],[ASIN]]),"Link")</f>
        <v>Link</v>
      </c>
      <c r="J19" s="1" t="str">
        <f>HYPERLINK(_xlfn.CONCAT("https://www.goodreads.com/book/show/",Table1[[#This Row],[Book Id]]),"Link")</f>
        <v>Link</v>
      </c>
      <c r="K19" s="1" t="str">
        <f>HYPERLINK(_xlfn.CONCAT("https://www.goodreads.com/review/new/",Table1[[#This Row],[Book Id]]),"Link")</f>
        <v>Link</v>
      </c>
    </row>
    <row r="20" spans="1:11" x14ac:dyDescent="0.25">
      <c r="A20">
        <v>34684622</v>
      </c>
      <c r="C20" t="s">
        <v>26</v>
      </c>
      <c r="E20" s="2">
        <v>44806</v>
      </c>
      <c r="F20" s="3">
        <v>4.07</v>
      </c>
      <c r="H20" t="s">
        <v>6</v>
      </c>
      <c r="I20" s="1" t="str">
        <f>HYPERLINK(_xlfn.CONCAT("https://smile.",LOWER(Table1[[#This Row],[Purchased at]]),"/dp/",Table1[[#This Row],[ASIN]]),"Link")</f>
        <v>Link</v>
      </c>
      <c r="J20" s="1" t="str">
        <f>HYPERLINK(_xlfn.CONCAT("https://www.goodreads.com/book/show/",Table1[[#This Row],[Book Id]]),"Link")</f>
        <v>Link</v>
      </c>
      <c r="K20" s="1" t="str">
        <f>HYPERLINK(_xlfn.CONCAT("https://www.goodreads.com/review/new/",Table1[[#This Row],[Book Id]]),"Link")</f>
        <v>Link</v>
      </c>
    </row>
    <row r="21" spans="1:11" x14ac:dyDescent="0.25">
      <c r="A21">
        <v>50484473</v>
      </c>
      <c r="C21" s="1" t="s">
        <v>74</v>
      </c>
      <c r="E21" s="2">
        <v>44286</v>
      </c>
      <c r="F21" s="3"/>
      <c r="G21">
        <v>1.99</v>
      </c>
      <c r="H21" s="5" t="s">
        <v>6</v>
      </c>
      <c r="I21" s="1" t="str">
        <f>HYPERLINK(_xlfn.CONCAT("https://smile.",LOWER(Table1[[#This Row],[Purchased at]]),"/dp/",Table1[[#This Row],[ASIN]]),"Link")</f>
        <v>Link</v>
      </c>
      <c r="J21" s="1" t="str">
        <f>HYPERLINK(_xlfn.CONCAT("https://www.goodreads.com/book/show/",Table1[[#This Row],[Book Id]]),"Link")</f>
        <v>Link</v>
      </c>
      <c r="K21" s="1" t="str">
        <f>HYPERLINK(_xlfn.CONCAT("https://www.goodreads.com/review/new/",Table1[[#This Row],[Book Id]]),"Link")</f>
        <v>Link</v>
      </c>
    </row>
    <row r="22" spans="1:11" x14ac:dyDescent="0.25">
      <c r="A22">
        <v>9762</v>
      </c>
      <c r="C22" t="s">
        <v>22</v>
      </c>
      <c r="D22" t="s">
        <v>17</v>
      </c>
      <c r="E22" s="2">
        <v>44911</v>
      </c>
      <c r="F22" s="3">
        <v>5.99</v>
      </c>
      <c r="H22" t="s">
        <v>5</v>
      </c>
      <c r="I22" s="1" t="str">
        <f>HYPERLINK(_xlfn.CONCAT("https://smile.",LOWER(Table1[[#This Row],[Purchased at]]),"/dp/",Table1[[#This Row],[ASIN]]),"Link")</f>
        <v>Link</v>
      </c>
      <c r="J22" s="1" t="str">
        <f>HYPERLINK(_xlfn.CONCAT("https://www.goodreads.com/book/show/",Table1[[#This Row],[Book Id]]),"Link")</f>
        <v>Link</v>
      </c>
      <c r="K22" s="1" t="str">
        <f>HYPERLINK(_xlfn.CONCAT("https://www.goodreads.com/review/new/",Table1[[#This Row],[Book Id]]),"Link")</f>
        <v>Link</v>
      </c>
    </row>
    <row r="23" spans="1:11" x14ac:dyDescent="0.25">
      <c r="A23">
        <v>14836</v>
      </c>
      <c r="C23" t="s">
        <v>33</v>
      </c>
      <c r="D23" t="s">
        <v>32</v>
      </c>
      <c r="E23" s="2">
        <v>44857</v>
      </c>
      <c r="F23" s="3">
        <v>2.0699999999999998</v>
      </c>
      <c r="G23">
        <v>1.99</v>
      </c>
      <c r="H23" t="s">
        <v>6</v>
      </c>
      <c r="I23" s="1" t="str">
        <f>HYPERLINK(_xlfn.CONCAT("https://smile.",LOWER(Table1[[#This Row],[Purchased at]]),"/dp/",Table1[[#This Row],[ASIN]]),"Link")</f>
        <v>Link</v>
      </c>
      <c r="J23" s="1" t="str">
        <f>HYPERLINK(_xlfn.CONCAT("https://www.goodreads.com/book/show/",Table1[[#This Row],[Book Id]]),"Link")</f>
        <v>Link</v>
      </c>
      <c r="K23" s="1" t="str">
        <f>HYPERLINK(_xlfn.CONCAT("https://www.goodreads.com/review/new/",Table1[[#This Row],[Book Id]]),"Link")</f>
        <v>Link</v>
      </c>
    </row>
    <row r="24" spans="1:11" x14ac:dyDescent="0.25">
      <c r="A24">
        <v>23755013</v>
      </c>
      <c r="C24" t="s">
        <v>69</v>
      </c>
      <c r="D24" t="s">
        <v>70</v>
      </c>
      <c r="E24" s="2">
        <v>44348</v>
      </c>
      <c r="F24" s="3"/>
      <c r="G24">
        <v>1.99</v>
      </c>
      <c r="H24" s="5" t="s">
        <v>6</v>
      </c>
      <c r="I24" s="1" t="str">
        <f>HYPERLINK(_xlfn.CONCAT("https://smile.",LOWER(Table1[[#This Row],[Purchased at]]),"/dp/",Table1[[#This Row],[ASIN]]),"Link")</f>
        <v>Link</v>
      </c>
      <c r="J24" s="1" t="str">
        <f>HYPERLINK(_xlfn.CONCAT("https://www.goodreads.com/book/show/",Table1[[#This Row],[Book Id]]),"Link")</f>
        <v>Link</v>
      </c>
      <c r="K24" s="1" t="str">
        <f>HYPERLINK(_xlfn.CONCAT("https://www.goodreads.com/review/new/",Table1[[#This Row],[Book Id]]),"Link")</f>
        <v>Link</v>
      </c>
    </row>
    <row r="25" spans="1:11" x14ac:dyDescent="0.25">
      <c r="A25">
        <v>34372285</v>
      </c>
      <c r="C25" s="1" t="s">
        <v>7</v>
      </c>
      <c r="D25" t="s">
        <v>9</v>
      </c>
      <c r="E25" s="2">
        <v>44938</v>
      </c>
      <c r="F25" s="3">
        <v>1.89</v>
      </c>
      <c r="G25">
        <v>1.99</v>
      </c>
      <c r="H25" t="s">
        <v>6</v>
      </c>
      <c r="I25" s="1" t="str">
        <f>HYPERLINK(_xlfn.CONCAT("https://smile.",LOWER(Table1[[#This Row],[Purchased at]]),"/dp/",Table1[[#This Row],[ASIN]]),"Link")</f>
        <v>Link</v>
      </c>
      <c r="J25" s="1" t="str">
        <f>HYPERLINK(_xlfn.CONCAT("https://www.goodreads.com/book/show/",Table1[[#This Row],[Book Id]]),"Link")</f>
        <v>Link</v>
      </c>
      <c r="K25" s="1" t="str">
        <f>HYPERLINK(_xlfn.CONCAT("https://www.goodreads.com/review/new/",Table1[[#This Row],[Book Id]]),"Link")</f>
        <v>Link</v>
      </c>
    </row>
    <row r="26" spans="1:11" x14ac:dyDescent="0.25">
      <c r="A26">
        <v>23426</v>
      </c>
      <c r="B26" t="s">
        <v>2993</v>
      </c>
      <c r="C26" s="1" t="s">
        <v>59</v>
      </c>
      <c r="D26" t="s">
        <v>60</v>
      </c>
      <c r="E26" s="2">
        <v>44470</v>
      </c>
      <c r="F26" s="3"/>
      <c r="G26">
        <v>1.99</v>
      </c>
      <c r="H26" t="s">
        <v>6</v>
      </c>
      <c r="I26" s="1" t="str">
        <f>HYPERLINK(_xlfn.CONCAT("https://smile.",LOWER(Table1[[#This Row],[Purchased at]]),"/dp/",Table1[[#This Row],[ASIN]]),"Link")</f>
        <v>Link</v>
      </c>
      <c r="J26" s="1" t="str">
        <f>HYPERLINK(_xlfn.CONCAT("https://www.goodreads.com/book/show/",Table1[[#This Row],[Book Id]]),"Link")</f>
        <v>Link</v>
      </c>
      <c r="K26" s="1" t="str">
        <f>HYPERLINK(_xlfn.CONCAT("https://www.goodreads.com/review/new/",Table1[[#This Row],[Book Id]]),"Link")</f>
        <v>Link</v>
      </c>
    </row>
    <row r="27" spans="1:11" x14ac:dyDescent="0.25">
      <c r="A27">
        <v>55200359</v>
      </c>
      <c r="C27" t="s">
        <v>24</v>
      </c>
      <c r="E27" s="2">
        <v>44849</v>
      </c>
      <c r="F27" s="3">
        <v>3.12</v>
      </c>
      <c r="H27" t="s">
        <v>6</v>
      </c>
      <c r="I27" s="1" t="str">
        <f>HYPERLINK(_xlfn.CONCAT("https://smile.",LOWER(Table1[[#This Row],[Purchased at]]),"/dp/",Table1[[#This Row],[ASIN]]),"Link")</f>
        <v>Link</v>
      </c>
      <c r="J27" s="1" t="str">
        <f>HYPERLINK(_xlfn.CONCAT("https://www.goodreads.com/book/show/",Table1[[#This Row],[Book Id]]),"Link")</f>
        <v>Link</v>
      </c>
      <c r="K27" s="1" t="str">
        <f>HYPERLINK(_xlfn.CONCAT("https://www.goodreads.com/review/new/",Table1[[#This Row],[Book Id]]),"Link")</f>
        <v>Link</v>
      </c>
    </row>
    <row r="28" spans="1:11" x14ac:dyDescent="0.25">
      <c r="A28">
        <v>58782858</v>
      </c>
      <c r="C28" t="s">
        <v>34</v>
      </c>
      <c r="D28" t="s">
        <v>25</v>
      </c>
      <c r="E28" s="2">
        <v>44825</v>
      </c>
      <c r="F28" s="3">
        <v>2.99</v>
      </c>
      <c r="H28" t="s">
        <v>5</v>
      </c>
      <c r="I28" s="1" t="str">
        <f>HYPERLINK(_xlfn.CONCAT("https://smile.",LOWER(Table1[[#This Row],[Purchased at]]),"/dp/",Table1[[#This Row],[ASIN]]),"Link")</f>
        <v>Link</v>
      </c>
      <c r="J28" s="1" t="str">
        <f>HYPERLINK(_xlfn.CONCAT("https://www.goodreads.com/book/show/",Table1[[#This Row],[Book Id]]),"Link")</f>
        <v>Link</v>
      </c>
      <c r="K28" s="1" t="str">
        <f>HYPERLINK(_xlfn.CONCAT("https://www.goodreads.com/review/new/",Table1[[#This Row],[Book Id]]),"Link")</f>
        <v>Link</v>
      </c>
    </row>
    <row r="29" spans="1:11" x14ac:dyDescent="0.25">
      <c r="A29">
        <v>26157704</v>
      </c>
      <c r="C29" s="1" t="s">
        <v>71</v>
      </c>
      <c r="D29" t="s">
        <v>72</v>
      </c>
      <c r="E29" s="2">
        <v>44320</v>
      </c>
      <c r="F29" s="3"/>
      <c r="G29">
        <v>0</v>
      </c>
      <c r="H29" s="5" t="s">
        <v>6</v>
      </c>
      <c r="I29" s="1" t="str">
        <f>HYPERLINK(_xlfn.CONCAT("https://smile.",LOWER(Table1[[#This Row],[Purchased at]]),"/dp/",Table1[[#This Row],[ASIN]]),"Link")</f>
        <v>Link</v>
      </c>
      <c r="J29" s="1" t="str">
        <f>HYPERLINK(_xlfn.CONCAT("https://www.goodreads.com/book/show/",Table1[[#This Row],[Book Id]]),"Link")</f>
        <v>Link</v>
      </c>
      <c r="K29" s="1" t="str">
        <f>HYPERLINK(_xlfn.CONCAT("https://www.goodreads.com/review/new/",Table1[[#This Row],[Book Id]]),"Link")</f>
        <v>Link</v>
      </c>
    </row>
    <row r="30" spans="1:11" x14ac:dyDescent="0.25">
      <c r="A30">
        <v>34017101</v>
      </c>
      <c r="C30" t="s">
        <v>29</v>
      </c>
      <c r="E30" s="2">
        <v>44794</v>
      </c>
      <c r="F30" s="3">
        <v>2.0299999999999998</v>
      </c>
      <c r="H30" t="s">
        <v>6</v>
      </c>
      <c r="I30" s="1" t="str">
        <f>HYPERLINK(_xlfn.CONCAT("https://smile.",LOWER(Table1[[#This Row],[Purchased at]]),"/dp/",Table1[[#This Row],[ASIN]]),"Link")</f>
        <v>Link</v>
      </c>
      <c r="J30" s="1" t="str">
        <f>HYPERLINK(_xlfn.CONCAT("https://www.goodreads.com/book/show/",Table1[[#This Row],[Book Id]]),"Link")</f>
        <v>Link</v>
      </c>
      <c r="K30" s="1" t="str">
        <f>HYPERLINK(_xlfn.CONCAT("https://www.goodreads.com/review/new/",Table1[[#This Row],[Book Id]]),"Link")</f>
        <v>Link</v>
      </c>
    </row>
    <row r="31" spans="1:11" x14ac:dyDescent="0.25">
      <c r="A31">
        <v>50550775</v>
      </c>
      <c r="B31" t="s">
        <v>2996</v>
      </c>
      <c r="C31" s="1" t="s">
        <v>82</v>
      </c>
      <c r="D31" t="s">
        <v>83</v>
      </c>
      <c r="E31" s="2">
        <v>44021</v>
      </c>
      <c r="F31" s="3"/>
      <c r="G31">
        <v>0.99</v>
      </c>
      <c r="H31" s="5" t="s">
        <v>6</v>
      </c>
      <c r="I31" s="1" t="str">
        <f>HYPERLINK(_xlfn.CONCAT("https://smile.",LOWER(Table1[[#This Row],[Purchased at]]),"/dp/",Table1[[#This Row],[ASIN]]),"Link")</f>
        <v>Link</v>
      </c>
      <c r="J31" s="1" t="str">
        <f>HYPERLINK(_xlfn.CONCAT("https://www.goodreads.com/book/show/",Table1[[#This Row],[Book Id]]),"Link")</f>
        <v>Link</v>
      </c>
      <c r="K31" s="1" t="str">
        <f>HYPERLINK(_xlfn.CONCAT("https://www.goodreads.com/review/new/",Table1[[#This Row],[Book Id]]),"Link")</f>
        <v>Link</v>
      </c>
    </row>
    <row r="32" spans="1:11" x14ac:dyDescent="0.25">
      <c r="A32">
        <v>60907485</v>
      </c>
      <c r="C32" t="s">
        <v>14</v>
      </c>
      <c r="E32" s="2">
        <v>44930</v>
      </c>
      <c r="F32" s="3">
        <v>7.12</v>
      </c>
      <c r="G32">
        <v>7.49</v>
      </c>
      <c r="H32" t="s">
        <v>15</v>
      </c>
      <c r="I32" s="1" t="str">
        <f>HYPERLINK(_xlfn.CONCAT("https://smile.",LOWER(Table1[[#This Row],[Purchased at]]),"/dp/",Table1[[#This Row],[ASIN]]),"Link")</f>
        <v>Link</v>
      </c>
      <c r="J32" s="1" t="str">
        <f>HYPERLINK(_xlfn.CONCAT("https://www.goodreads.com/book/show/",Table1[[#This Row],[Book Id]]),"Link")</f>
        <v>Link</v>
      </c>
      <c r="K32" s="1" t="str">
        <f>HYPERLINK(_xlfn.CONCAT("https://www.goodreads.com/review/new/",Table1[[#This Row],[Book Id]]),"Link")</f>
        <v>Link</v>
      </c>
    </row>
    <row r="33" spans="1:11" x14ac:dyDescent="0.25">
      <c r="A33">
        <v>38210</v>
      </c>
      <c r="C33" t="s">
        <v>10</v>
      </c>
      <c r="D33" t="s">
        <v>11</v>
      </c>
      <c r="E33" s="2">
        <v>44941</v>
      </c>
      <c r="F33" s="3">
        <v>0.99</v>
      </c>
      <c r="H33" t="s">
        <v>5</v>
      </c>
      <c r="I33" s="1" t="str">
        <f>HYPERLINK(_xlfn.CONCAT("https://smile.",LOWER(Table1[[#This Row],[Purchased at]]),"/dp/",Table1[[#This Row],[ASIN]]),"Link")</f>
        <v>Link</v>
      </c>
      <c r="J33" s="1" t="str">
        <f>HYPERLINK(_xlfn.CONCAT("https://www.goodreads.com/book/show/",Table1[[#This Row],[Book Id]]),"Link")</f>
        <v>Link</v>
      </c>
      <c r="K33" s="1" t="str">
        <f>HYPERLINK(_xlfn.CONCAT("https://www.goodreads.com/review/new/",Table1[[#This Row],[Book Id]]),"Link")</f>
        <v>Link</v>
      </c>
    </row>
    <row r="34" spans="1:11" x14ac:dyDescent="0.25">
      <c r="A34">
        <v>18940749</v>
      </c>
      <c r="B34" t="s">
        <v>2997</v>
      </c>
      <c r="C34" s="1" t="s">
        <v>78</v>
      </c>
      <c r="D34" t="s">
        <v>79</v>
      </c>
      <c r="E34" s="2">
        <v>44138</v>
      </c>
      <c r="F34" s="3"/>
      <c r="G34">
        <v>1.99</v>
      </c>
      <c r="H34" s="5" t="s">
        <v>6</v>
      </c>
      <c r="I34" s="1" t="str">
        <f>HYPERLINK(_xlfn.CONCAT("https://smile.",LOWER(Table1[[#This Row],[Purchased at]]),"/dp/",Table1[[#This Row],[ASIN]]),"Link")</f>
        <v>Link</v>
      </c>
      <c r="J34" s="1" t="str">
        <f>HYPERLINK(_xlfn.CONCAT("https://www.goodreads.com/book/show/",Table1[[#This Row],[Book Id]]),"Link")</f>
        <v>Link</v>
      </c>
      <c r="K34" s="1" t="str">
        <f>HYPERLINK(_xlfn.CONCAT("https://www.goodreads.com/review/new/",Table1[[#This Row],[Book Id]]),"Link")</f>
        <v>Link</v>
      </c>
    </row>
    <row r="35" spans="1:11" x14ac:dyDescent="0.25">
      <c r="A35">
        <v>22124113</v>
      </c>
      <c r="B35" t="s">
        <v>2998</v>
      </c>
      <c r="C35" s="1" t="s">
        <v>80</v>
      </c>
      <c r="D35" t="s">
        <v>81</v>
      </c>
      <c r="E35" s="2">
        <v>43853</v>
      </c>
      <c r="F35" s="3"/>
      <c r="G35">
        <v>1.99</v>
      </c>
      <c r="H35" s="5" t="s">
        <v>6</v>
      </c>
      <c r="I35" s="1" t="str">
        <f>HYPERLINK(_xlfn.CONCAT("https://smile.",LOWER(Table1[[#This Row],[Purchased at]]),"/dp/",Table1[[#This Row],[ASIN]]),"Link")</f>
        <v>Link</v>
      </c>
      <c r="J35" s="1" t="str">
        <f>HYPERLINK(_xlfn.CONCAT("https://www.goodreads.com/book/show/",Table1[[#This Row],[Book Id]]),"Link")</f>
        <v>Link</v>
      </c>
      <c r="K35" s="1" t="str">
        <f>HYPERLINK(_xlfn.CONCAT("https://www.goodreads.com/review/new/",Table1[[#This Row],[Book Id]]),"Link")</f>
        <v>Link</v>
      </c>
    </row>
    <row r="36" spans="1:11" x14ac:dyDescent="0.25">
      <c r="A36">
        <v>9420697</v>
      </c>
      <c r="C36" s="1" t="s">
        <v>61</v>
      </c>
      <c r="D36" t="s">
        <v>62</v>
      </c>
      <c r="E36" s="2">
        <v>44470</v>
      </c>
      <c r="F36" s="3"/>
      <c r="G36">
        <v>2.99</v>
      </c>
      <c r="H36" t="s">
        <v>6</v>
      </c>
      <c r="I36" s="1" t="str">
        <f>HYPERLINK(_xlfn.CONCAT("https://smile.",LOWER(Table1[[#This Row],[Purchased at]]),"/dp/",Table1[[#This Row],[ASIN]]),"Link")</f>
        <v>Link</v>
      </c>
      <c r="J36" s="1" t="str">
        <f>HYPERLINK(_xlfn.CONCAT("https://www.goodreads.com/book/show/",Table1[[#This Row],[Book Id]]),"Link")</f>
        <v>Link</v>
      </c>
      <c r="K36" s="1" t="str">
        <f>HYPERLINK(_xlfn.CONCAT("https://www.goodreads.com/review/new/",Table1[[#This Row],[Book Id]]),"Link")</f>
        <v>Link</v>
      </c>
    </row>
    <row r="37" spans="1:11" x14ac:dyDescent="0.25">
      <c r="C37" s="1" t="s">
        <v>47</v>
      </c>
      <c r="D37" t="s">
        <v>48</v>
      </c>
      <c r="E37" s="2">
        <v>44872</v>
      </c>
      <c r="F37" s="3">
        <v>0</v>
      </c>
      <c r="H37" t="s">
        <v>6</v>
      </c>
      <c r="I37" s="1" t="str">
        <f>HYPERLINK(_xlfn.CONCAT("https://smile.",LOWER(Table1[[#This Row],[Purchased at]]),"/dp/",Table1[[#This Row],[ASIN]]),"Link")</f>
        <v>Link</v>
      </c>
      <c r="J37" s="1" t="str">
        <f>HYPERLINK(_xlfn.CONCAT("https://www.goodreads.com/book/show/",Table1[[#This Row],[Book Id]]),"Link")</f>
        <v>Link</v>
      </c>
      <c r="K37" s="1" t="str">
        <f>HYPERLINK(_xlfn.CONCAT("https://www.goodreads.com/review/new/",Table1[[#This Row],[Book Id]]),"Link")</f>
        <v>Link</v>
      </c>
    </row>
    <row r="38" spans="1:11" x14ac:dyDescent="0.25">
      <c r="A38">
        <v>6746355</v>
      </c>
      <c r="C38" t="s">
        <v>31</v>
      </c>
      <c r="D38" t="s">
        <v>30</v>
      </c>
      <c r="E38" s="2">
        <v>44860</v>
      </c>
      <c r="F38" s="3">
        <v>2.0299999999999998</v>
      </c>
      <c r="G38">
        <v>1.99</v>
      </c>
      <c r="H38" t="s">
        <v>6</v>
      </c>
      <c r="I38" s="1" t="str">
        <f>HYPERLINK(_xlfn.CONCAT("https://smile.",LOWER(Table1[[#This Row],[Purchased at]]),"/dp/",Table1[[#This Row],[ASIN]]),"Link")</f>
        <v>Link</v>
      </c>
      <c r="J38" s="1" t="str">
        <f>HYPERLINK(_xlfn.CONCAT("https://www.goodreads.com/book/show/",Table1[[#This Row],[Book Id]]),"Link")</f>
        <v>Link</v>
      </c>
      <c r="K38" s="1" t="str">
        <f>HYPERLINK(_xlfn.CONCAT("https://www.goodreads.com/review/new/",Table1[[#This Row],[Book Id]]),"Link")</f>
        <v>Link</v>
      </c>
    </row>
    <row r="39" spans="1:11" x14ac:dyDescent="0.25">
      <c r="A39">
        <v>15817111</v>
      </c>
      <c r="C39" s="1" t="s">
        <v>73</v>
      </c>
      <c r="E39" s="2">
        <v>44286</v>
      </c>
      <c r="F39" s="3"/>
      <c r="G39">
        <v>2.99</v>
      </c>
      <c r="H39" s="5" t="s">
        <v>6</v>
      </c>
      <c r="I39" s="1" t="str">
        <f>HYPERLINK(_xlfn.CONCAT("https://smile.",LOWER(Table1[[#This Row],[Purchased at]]),"/dp/",Table1[[#This Row],[ASIN]]),"Link")</f>
        <v>Link</v>
      </c>
      <c r="J39" s="1" t="str">
        <f>HYPERLINK(_xlfn.CONCAT("https://www.goodreads.com/book/show/",Table1[[#This Row],[Book Id]]),"Link")</f>
        <v>Link</v>
      </c>
      <c r="K39" s="1" t="str">
        <f>HYPERLINK(_xlfn.CONCAT("https://www.goodreads.com/review/new/",Table1[[#This Row],[Book Id]]),"Link")</f>
        <v>Link</v>
      </c>
    </row>
    <row r="40" spans="1:11" x14ac:dyDescent="0.25">
      <c r="A40">
        <v>44785769</v>
      </c>
      <c r="B40" t="s">
        <v>2992</v>
      </c>
      <c r="C40" s="1" t="s">
        <v>4</v>
      </c>
      <c r="D40" t="s">
        <v>90</v>
      </c>
      <c r="E40" s="2">
        <v>44938</v>
      </c>
      <c r="F40" s="3">
        <v>1.49</v>
      </c>
      <c r="H40" t="s">
        <v>5</v>
      </c>
      <c r="I40" s="1" t="str">
        <f>HYPERLINK(_xlfn.CONCAT("https://smile.",LOWER(Table1[[#This Row],[Purchased at]]),"/dp/",Table1[[#This Row],[ASIN]]),"Link")</f>
        <v>Link</v>
      </c>
      <c r="J40" s="1" t="str">
        <f>HYPERLINK(_xlfn.CONCAT("https://www.goodreads.com/book/show/",Table1[[#This Row],[Book Id]]),"Link")</f>
        <v>Link</v>
      </c>
      <c r="K40" s="1" t="str">
        <f>HYPERLINK(_xlfn.CONCAT("https://www.goodreads.com/review/new/",Table1[[#This Row],[Book Id]]),"Link")</f>
        <v>Link</v>
      </c>
    </row>
    <row r="41" spans="1:11" x14ac:dyDescent="0.25">
      <c r="A41">
        <v>58446721</v>
      </c>
      <c r="B41" t="s">
        <v>2991</v>
      </c>
      <c r="C41" s="1" t="s">
        <v>88</v>
      </c>
      <c r="D41" t="s">
        <v>89</v>
      </c>
      <c r="E41" s="2">
        <v>44940</v>
      </c>
      <c r="F41" s="3">
        <v>3.99</v>
      </c>
      <c r="H41" t="s">
        <v>5</v>
      </c>
      <c r="I41" s="1" t="str">
        <f>HYPERLINK(_xlfn.CONCAT("https://smile.",LOWER(Table1[[#This Row],[Purchased at]]),"/dp/",Table1[[#This Row],[ASIN]]),"Link")</f>
        <v>Link</v>
      </c>
      <c r="J41" s="1" t="str">
        <f>HYPERLINK(_xlfn.CONCAT("https://www.goodreads.com/book/show/",Table1[[#This Row],[Book Id]]),"Link")</f>
        <v>Link</v>
      </c>
      <c r="K41" s="1" t="str">
        <f>HYPERLINK(_xlfn.CONCAT("https://www.goodreads.com/review/new/",Table1[[#This Row],[Book Id]]),"Link")</f>
        <v>Link</v>
      </c>
    </row>
    <row r="42" spans="1:11" x14ac:dyDescent="0.25">
      <c r="A42">
        <v>53479927</v>
      </c>
      <c r="C42" t="s">
        <v>43</v>
      </c>
      <c r="D42" t="s">
        <v>44</v>
      </c>
      <c r="E42" s="2">
        <v>44873</v>
      </c>
      <c r="F42" s="3">
        <v>3.05</v>
      </c>
      <c r="G42">
        <v>2.99</v>
      </c>
      <c r="H42" t="s">
        <v>6</v>
      </c>
      <c r="I42" s="1" t="str">
        <f>HYPERLINK(_xlfn.CONCAT("https://smile.",LOWER(Table1[[#This Row],[Purchased at]]),"/dp/",Table1[[#This Row],[ASIN]]),"Link")</f>
        <v>Link</v>
      </c>
      <c r="J42" s="1" t="str">
        <f>HYPERLINK(_xlfn.CONCAT("https://www.goodreads.com/book/show/",Table1[[#This Row],[Book Id]]),"Link")</f>
        <v>Link</v>
      </c>
      <c r="K42" s="1" t="str">
        <f>HYPERLINK(_xlfn.CONCAT("https://www.goodreads.com/review/new/",Table1[[#This Row],[Book Id]]),"Link")</f>
        <v>Link</v>
      </c>
    </row>
    <row r="43" spans="1:11" x14ac:dyDescent="0.25">
      <c r="A43">
        <v>23164946</v>
      </c>
      <c r="C43" s="7" t="s">
        <v>37</v>
      </c>
      <c r="D43" s="4" t="s">
        <v>40</v>
      </c>
      <c r="E43" s="8">
        <v>44903</v>
      </c>
      <c r="F43" s="9">
        <v>2.97</v>
      </c>
      <c r="G43" s="4"/>
      <c r="H43" s="4" t="s">
        <v>5</v>
      </c>
      <c r="I43" s="7" t="str">
        <f>HYPERLINK(_xlfn.CONCAT("https://smile.",LOWER(Table1[[#This Row],[Purchased at]]),"/dp/",Table1[[#This Row],[ASIN]]),"Link")</f>
        <v>Link</v>
      </c>
      <c r="J43" s="7" t="str">
        <f>HYPERLINK(_xlfn.CONCAT("https://www.goodreads.com/book/show/",Table1[[#This Row],[Book Id]]),"Link")</f>
        <v>Link</v>
      </c>
      <c r="K43" s="7" t="str">
        <f>HYPERLINK(_xlfn.CONCAT("https://www.goodreads.com/review/new/",Table1[[#This Row],[Book Id]]),"Link")</f>
        <v>Link</v>
      </c>
    </row>
    <row r="44" spans="1:11" x14ac:dyDescent="0.25">
      <c r="A44">
        <v>64998952</v>
      </c>
      <c r="C44" t="s">
        <v>58</v>
      </c>
      <c r="D44" t="s">
        <v>12</v>
      </c>
      <c r="E44" s="2">
        <v>44927</v>
      </c>
      <c r="F44" s="3">
        <v>2.86</v>
      </c>
      <c r="G44">
        <v>2.99</v>
      </c>
      <c r="H44" t="s">
        <v>6</v>
      </c>
      <c r="I44" s="1" t="str">
        <f>HYPERLINK(_xlfn.CONCAT("https://smile.",LOWER(Table1[[#This Row],[Purchased at]]),"/dp/",Table1[[#This Row],[ASIN]]),"Link")</f>
        <v>Link</v>
      </c>
      <c r="J44" s="1" t="str">
        <f>HYPERLINK(_xlfn.CONCAT("https://www.goodreads.com/book/show/",Table1[[#This Row],[Book Id]]),"Link")</f>
        <v>Link</v>
      </c>
      <c r="K44" s="1" t="str">
        <f>HYPERLINK(_xlfn.CONCAT("https://www.goodreads.com/review/new/",Table1[[#This Row],[Book Id]]),"Link")</f>
        <v>Link</v>
      </c>
    </row>
    <row r="45" spans="1:11" x14ac:dyDescent="0.25">
      <c r="A45">
        <v>63189090</v>
      </c>
      <c r="C45" s="1" t="s">
        <v>38</v>
      </c>
      <c r="D45" t="s">
        <v>39</v>
      </c>
      <c r="E45" s="2">
        <v>44898</v>
      </c>
      <c r="F45" s="3">
        <v>1.84</v>
      </c>
      <c r="H45" t="s">
        <v>5</v>
      </c>
      <c r="I45" s="1" t="str">
        <f>HYPERLINK(_xlfn.CONCAT("https://smile.",LOWER(Table1[[#This Row],[Purchased at]]),"/dp/",Table1[[#This Row],[ASIN]]),"Link")</f>
        <v>Link</v>
      </c>
      <c r="J45" s="1" t="str">
        <f>HYPERLINK(_xlfn.CONCAT("https://www.goodreads.com/book/show/",Table1[[#This Row],[Book Id]]),"Link")</f>
        <v>Link</v>
      </c>
      <c r="K45" s="1" t="str">
        <f>HYPERLINK(_xlfn.CONCAT("https://www.goodreads.com/review/new/",Table1[[#This Row],[Book Id]]),"Link")</f>
        <v>Link</v>
      </c>
    </row>
    <row r="46" spans="1:11" x14ac:dyDescent="0.25">
      <c r="A46">
        <v>54443313</v>
      </c>
      <c r="C46" s="1" t="s">
        <v>51</v>
      </c>
      <c r="D46" t="s">
        <v>52</v>
      </c>
      <c r="E46" s="2">
        <v>44869</v>
      </c>
      <c r="F46" s="3">
        <v>1.39</v>
      </c>
      <c r="H46" t="s">
        <v>5</v>
      </c>
      <c r="I46" s="1" t="str">
        <f>HYPERLINK(_xlfn.CONCAT("https://smile.",LOWER(Table1[[#This Row],[Purchased at]]),"/dp/",Table1[[#This Row],[ASIN]]),"Link")</f>
        <v>Link</v>
      </c>
      <c r="J46" s="1" t="str">
        <f>HYPERLINK(_xlfn.CONCAT("https://www.goodreads.com/book/show/",Table1[[#This Row],[Book Id]]),"Link")</f>
        <v>Link</v>
      </c>
      <c r="K46" s="1" t="str">
        <f>HYPERLINK(_xlfn.CONCAT("https://www.goodreads.com/review/new/",Table1[[#This Row],[Book Id]]),"Link")</f>
        <v>Link</v>
      </c>
    </row>
    <row r="47" spans="1:11" x14ac:dyDescent="0.25">
      <c r="A47">
        <v>22875447</v>
      </c>
      <c r="C47" s="1" t="s">
        <v>63</v>
      </c>
      <c r="D47" t="s">
        <v>64</v>
      </c>
      <c r="E47" s="2">
        <v>44470</v>
      </c>
      <c r="F47" s="3"/>
      <c r="G47">
        <v>4.99</v>
      </c>
      <c r="H47" t="s">
        <v>6</v>
      </c>
      <c r="I47" s="1" t="str">
        <f>HYPERLINK(_xlfn.CONCAT("https://smile.",LOWER(Table1[[#This Row],[Purchased at]]),"/dp/",Table1[[#This Row],[ASIN]]),"Link")</f>
        <v>Link</v>
      </c>
      <c r="J47" s="1" t="str">
        <f>HYPERLINK(_xlfn.CONCAT("https://www.goodreads.com/book/show/",Table1[[#This Row],[Book Id]]),"Link")</f>
        <v>Link</v>
      </c>
      <c r="K47" s="1" t="str">
        <f>HYPERLINK(_xlfn.CONCAT("https://www.goodreads.com/review/new/",Table1[[#This Row],[Book Id]]),"Link")</f>
        <v>Link</v>
      </c>
    </row>
    <row r="48" spans="1:11" x14ac:dyDescent="0.25">
      <c r="A48">
        <v>103758</v>
      </c>
      <c r="C48" s="1" t="s">
        <v>76</v>
      </c>
      <c r="D48" s="4" t="s">
        <v>77</v>
      </c>
      <c r="E48" s="2">
        <v>44158</v>
      </c>
      <c r="F48" s="3"/>
      <c r="G48">
        <v>0.99</v>
      </c>
      <c r="H48" s="5" t="s">
        <v>6</v>
      </c>
      <c r="I48" s="1" t="str">
        <f>HYPERLINK(_xlfn.CONCAT("https://smile.",LOWER(Table1[[#This Row],[Purchased at]]),"/dp/",Table1[[#This Row],[ASIN]]),"Link")</f>
        <v>Link</v>
      </c>
      <c r="J48" s="1" t="str">
        <f>HYPERLINK(_xlfn.CONCAT("https://www.goodreads.com/book/show/",Table1[[#This Row],[Book Id]]),"Link")</f>
        <v>Link</v>
      </c>
      <c r="K48" s="1" t="str">
        <f>HYPERLINK(_xlfn.CONCAT("https://www.goodreads.com/review/new/",Table1[[#This Row],[Book Id]]),"Link")</f>
        <v>Link</v>
      </c>
    </row>
    <row r="49" spans="1:11" x14ac:dyDescent="0.25">
      <c r="A49">
        <v>19425055</v>
      </c>
      <c r="B49" t="s">
        <v>2999</v>
      </c>
      <c r="C49" t="s">
        <v>3000</v>
      </c>
      <c r="D49" t="s">
        <v>3001</v>
      </c>
      <c r="E49" s="2">
        <v>44944</v>
      </c>
      <c r="F49" s="3">
        <v>0</v>
      </c>
      <c r="G49">
        <v>0</v>
      </c>
      <c r="I49" s="10" t="str">
        <f>HYPERLINK(_xlfn.CONCAT("https://smile.",LOWER(Table1[[#This Row],[Purchased at]]),"/dp/",Table1[[#This Row],[ASIN]]),"Link")</f>
        <v>Link</v>
      </c>
      <c r="J49" s="10" t="str">
        <f>HYPERLINK(_xlfn.CONCAT("https://www.goodreads.com/book/show/",Table1[[#This Row],[Book Id]]),"Link")</f>
        <v>Link</v>
      </c>
      <c r="K49" s="10" t="str">
        <f>HYPERLINK(_xlfn.CONCAT("https://www.goodreads.com/review/new/",Table1[[#This Row],[Book Id]]),"Link")</f>
        <v>Link</v>
      </c>
    </row>
    <row r="50" spans="1:11" x14ac:dyDescent="0.25">
      <c r="A50">
        <v>33275151</v>
      </c>
      <c r="B50" t="s">
        <v>3003</v>
      </c>
      <c r="C50" t="s">
        <v>3002</v>
      </c>
      <c r="D50" t="s">
        <v>3004</v>
      </c>
      <c r="E50" s="2">
        <v>44945</v>
      </c>
      <c r="F50" s="3">
        <v>2.82</v>
      </c>
      <c r="G50">
        <v>2.99</v>
      </c>
      <c r="H50" s="5" t="s">
        <v>6</v>
      </c>
      <c r="I50" s="10" t="str">
        <f>HYPERLINK(_xlfn.CONCAT("https://smile.",LOWER(Table1[[#This Row],[Purchased at]]),"/dp/",Table1[[#This Row],[ASIN]]),"Link")</f>
        <v>Link</v>
      </c>
      <c r="J50" s="10" t="str">
        <f>HYPERLINK(_xlfn.CONCAT("https://www.goodreads.com/book/show/",Table1[[#This Row],[Book Id]]),"Link")</f>
        <v>Link</v>
      </c>
      <c r="K50" s="10" t="str">
        <f>HYPERLINK(_xlfn.CONCAT("https://www.goodreads.com/review/new/",Table1[[#This Row],[Book Id]]),"Link")</f>
        <v>Link</v>
      </c>
    </row>
    <row r="51" spans="1:11" x14ac:dyDescent="0.25">
      <c r="A51">
        <v>55132921</v>
      </c>
      <c r="B51" t="s">
        <v>3008</v>
      </c>
      <c r="C51" t="s">
        <v>3009</v>
      </c>
      <c r="D51" t="s">
        <v>1288</v>
      </c>
      <c r="E51" s="2">
        <v>44948</v>
      </c>
      <c r="F51" s="3">
        <v>2.81</v>
      </c>
      <c r="G51">
        <v>2.99</v>
      </c>
      <c r="H51" s="5" t="s">
        <v>6</v>
      </c>
      <c r="I51" s="10" t="str">
        <f>HYPERLINK(_xlfn.CONCAT("https://smile.",LOWER(Table1[[#This Row],[Purchased at]]),"/dp/",Table1[[#This Row],[ASIN]]),"Link")</f>
        <v>Link</v>
      </c>
      <c r="J51" s="10" t="str">
        <f>HYPERLINK(_xlfn.CONCAT("https://www.goodreads.com/book/show/",Table1[[#This Row],[Book Id]]),"Link")</f>
        <v>Link</v>
      </c>
      <c r="K51" s="10" t="str">
        <f>HYPERLINK(_xlfn.CONCAT("https://www.goodreads.com/review/new/",Table1[[#This Row],[Book Id]]),"Link")</f>
        <v>Link</v>
      </c>
    </row>
    <row r="52" spans="1:11" x14ac:dyDescent="0.25">
      <c r="A52">
        <v>27406280</v>
      </c>
      <c r="B52" t="s">
        <v>3005</v>
      </c>
      <c r="C52" t="s">
        <v>3006</v>
      </c>
      <c r="D52" t="s">
        <v>3007</v>
      </c>
      <c r="E52" s="2">
        <v>44949</v>
      </c>
      <c r="F52" s="3">
        <v>0.99</v>
      </c>
      <c r="H52" t="s">
        <v>5</v>
      </c>
      <c r="I52" s="10" t="str">
        <f>HYPERLINK(_xlfn.CONCAT("https://smile.",LOWER(Table1[[#This Row],[Purchased at]]),"/dp/",Table1[[#This Row],[ASIN]]),"Link")</f>
        <v>Link</v>
      </c>
      <c r="J52" s="10" t="str">
        <f>HYPERLINK(_xlfn.CONCAT("https://www.goodreads.com/book/show/",Table1[[#This Row],[Book Id]]),"Link")</f>
        <v>Link</v>
      </c>
      <c r="K52" s="10" t="str">
        <f>HYPERLINK(_xlfn.CONCAT("https://www.goodreads.com/review/new/",Table1[[#This Row],[Book Id]]),"Link")</f>
        <v>Link</v>
      </c>
    </row>
    <row r="53" spans="1:11" x14ac:dyDescent="0.25">
      <c r="A53">
        <v>34215313</v>
      </c>
      <c r="B53" t="s">
        <v>3010</v>
      </c>
      <c r="C53" t="s">
        <v>3011</v>
      </c>
      <c r="D53" t="s">
        <v>3015</v>
      </c>
      <c r="E53" s="2">
        <v>44950</v>
      </c>
      <c r="F53" s="3">
        <v>3.99</v>
      </c>
      <c r="H53" t="s">
        <v>5</v>
      </c>
      <c r="I53" s="10" t="str">
        <f>HYPERLINK(_xlfn.CONCAT("https://smile.",LOWER(Table1[[#This Row],[Purchased at]]),"/dp/",Table1[[#This Row],[ASIN]]),"Link")</f>
        <v>Link</v>
      </c>
      <c r="J53" s="10" t="str">
        <f>HYPERLINK(_xlfn.CONCAT("https://www.goodreads.com/book/show/",Table1[[#This Row],[Book Id]]),"Link")</f>
        <v>Link</v>
      </c>
      <c r="K53" s="10" t="str">
        <f>HYPERLINK(_xlfn.CONCAT("https://www.goodreads.com/review/new/",Table1[[#This Row],[Book Id]]),"Link")</f>
        <v>Link</v>
      </c>
    </row>
    <row r="54" spans="1:11" x14ac:dyDescent="0.25">
      <c r="A54">
        <v>63897905</v>
      </c>
      <c r="B54" t="s">
        <v>3012</v>
      </c>
      <c r="C54" t="s">
        <v>3013</v>
      </c>
      <c r="D54" t="s">
        <v>3014</v>
      </c>
      <c r="E54" s="2">
        <v>44956</v>
      </c>
      <c r="F54" s="3">
        <v>0</v>
      </c>
      <c r="G54">
        <v>0</v>
      </c>
      <c r="H54" s="5" t="s">
        <v>6</v>
      </c>
      <c r="I54" s="10" t="str">
        <f>HYPERLINK(_xlfn.CONCAT("https://smile.",LOWER(Table1[[#This Row],[Purchased at]]),"/dp/",Table1[[#This Row],[ASIN]]),"Link")</f>
        <v>Link</v>
      </c>
      <c r="J54" s="10" t="str">
        <f>HYPERLINK(_xlfn.CONCAT("https://www.goodreads.com/book/show/",Table1[[#This Row],[Book Id]]),"Link")</f>
        <v>Link</v>
      </c>
      <c r="K54" s="10" t="str">
        <f>HYPERLINK(_xlfn.CONCAT("https://www.goodreads.com/review/new/",Table1[[#This Row],[Book Id]]),"Link")</f>
        <v>Link</v>
      </c>
    </row>
    <row r="55" spans="1:11" x14ac:dyDescent="0.25">
      <c r="A55">
        <v>8212101</v>
      </c>
      <c r="B55" t="s">
        <v>3016</v>
      </c>
      <c r="C55" t="s">
        <v>3017</v>
      </c>
      <c r="D55" t="s">
        <v>3018</v>
      </c>
      <c r="E55" s="2">
        <v>44959</v>
      </c>
      <c r="F55" s="3">
        <v>1.87</v>
      </c>
      <c r="G55">
        <v>1.99</v>
      </c>
      <c r="H55" s="5" t="s">
        <v>6</v>
      </c>
      <c r="I55" s="10" t="str">
        <f>HYPERLINK(_xlfn.CONCAT("https://smile.",LOWER(Table1[[#This Row],[Purchased at]]),"/dp/",Table1[[#This Row],[ASIN]]),"Link")</f>
        <v>Link</v>
      </c>
      <c r="J55" s="10" t="str">
        <f>HYPERLINK(_xlfn.CONCAT("https://www.goodreads.com/book/show/",Table1[[#This Row],[Book Id]]),"Link")</f>
        <v>Link</v>
      </c>
      <c r="K55" s="10" t="str">
        <f>HYPERLINK(_xlfn.CONCAT("https://www.goodreads.com/review/new/",Table1[[#This Row],[Book Id]]),"Link")</f>
        <v>Link</v>
      </c>
    </row>
    <row r="56" spans="1:11" x14ac:dyDescent="0.25">
      <c r="A56">
        <v>37768423</v>
      </c>
      <c r="B56" s="1" t="s">
        <v>3019</v>
      </c>
      <c r="C56" t="s">
        <v>3020</v>
      </c>
      <c r="D56" t="s">
        <v>1150</v>
      </c>
      <c r="E56" s="2">
        <v>44996</v>
      </c>
      <c r="F56" s="3">
        <v>3.99</v>
      </c>
      <c r="H56" t="s">
        <v>5</v>
      </c>
      <c r="I56" s="10" t="str">
        <f>HYPERLINK(_xlfn.CONCAT("https://smile.",LOWER(Table1[[#This Row],[Purchased at]]),"/dp/",Table1[[#This Row],[ASIN]]),"Link")</f>
        <v>Link</v>
      </c>
      <c r="J56" s="10" t="str">
        <f>HYPERLINK(_xlfn.CONCAT("https://www.goodreads.com/book/show/",Table1[[#This Row],[Book Id]]),"Link")</f>
        <v>Link</v>
      </c>
      <c r="K56" s="10" t="str">
        <f>HYPERLINK(_xlfn.CONCAT("https://www.goodreads.com/review/new/",Table1[[#This Row],[Book Id]]),"Link")</f>
        <v>Link</v>
      </c>
    </row>
    <row r="57" spans="1:11" x14ac:dyDescent="0.25">
      <c r="A57">
        <v>49229139</v>
      </c>
      <c r="B57" t="s">
        <v>3022</v>
      </c>
      <c r="C57" t="s">
        <v>3021</v>
      </c>
      <c r="D57" t="s">
        <v>3023</v>
      </c>
      <c r="E57" s="2">
        <v>44996</v>
      </c>
      <c r="F57" s="3">
        <v>3.49</v>
      </c>
      <c r="H57" t="s">
        <v>5</v>
      </c>
      <c r="I57" s="10" t="str">
        <f>HYPERLINK(_xlfn.CONCAT("https://smile.",LOWER(Table1[[#This Row],[Purchased at]]),"/dp/",Table1[[#This Row],[ASIN]]),"Link")</f>
        <v>Link</v>
      </c>
      <c r="J57" s="10" t="str">
        <f>HYPERLINK(_xlfn.CONCAT("https://www.goodreads.com/book/show/",Table1[[#This Row],[Book Id]]),"Link")</f>
        <v>Link</v>
      </c>
      <c r="K57" s="10" t="str">
        <f>HYPERLINK(_xlfn.CONCAT("https://www.goodreads.com/review/new/",Table1[[#This Row],[Book Id]]),"Link")</f>
        <v>Link</v>
      </c>
    </row>
  </sheetData>
  <hyperlinks>
    <hyperlink ref="C40" r:id="rId1" display="https://www.amazon.de/gp/r.html?C=34DQ2ADJHS3K0&amp;K=2HCVWSB99FZVD&amp;M=urn:rtn:msg:2023011218151155db921755c94b679a941dac7f30p0eu&amp;R=2QUWMASGWARS&amp;T=C&amp;U=https%3A%2F%2Fwww.amazon.de%2Fdp%2FB07Q4LY2CV%2Fref%3Dpe_39220511_640034271_TE_M1DP&amp;H=OGPANZAQVEVAAKOCYBBUPDFNXAOA&amp;ref_=pe_39220511_640034271_TE_M1DP" xr:uid="{D63B25D3-5263-421A-B9C8-64542EB20F3D}"/>
    <hyperlink ref="C25" r:id="rId2" xr:uid="{CC725B37-651C-48D4-927D-35BE1FD411BE}"/>
    <hyperlink ref="C43" r:id="rId3" xr:uid="{7111F24C-5C7D-4E64-8763-D820A2BE029E}"/>
    <hyperlink ref="C45" r:id="rId4" xr:uid="{AC0E8CCA-81FE-4317-B3AB-4CA8469168B2}"/>
    <hyperlink ref="C37" r:id="rId5" xr:uid="{6C6FC4B7-88AC-4439-8743-B938ACC76B8E}"/>
    <hyperlink ref="C16" r:id="rId6" xr:uid="{A2F5AF31-1D87-442E-9DAC-031F41C2F6F8}"/>
    <hyperlink ref="C46" r:id="rId7" xr:uid="{D9E927C5-C2F7-4475-B694-57E77756EF87}"/>
    <hyperlink ref="C11" r:id="rId8" xr:uid="{7F7C5F19-87FD-4EC4-8290-B0B6348B3033}"/>
    <hyperlink ref="C26" r:id="rId9" display="https://smile.amazon.com/dp/B017WS32NO/ref=docs-os-doi_0" xr:uid="{2F6AAEB4-9374-4950-98DC-F4973933170A}"/>
    <hyperlink ref="C36" r:id="rId10" display="https://smile.amazon.com/dp/B089GM2W99/ref=docs-os-doi_0" xr:uid="{87B4FEEA-E407-4995-95F8-C0E6E4BE36DB}"/>
    <hyperlink ref="C47" r:id="rId11" display="https://smile.amazon.com/dp/B00MEMMVB8/ref=docs-os-doi_0" xr:uid="{22FF5E93-04F0-4E39-A98D-70BA1C21255A}"/>
    <hyperlink ref="C6" r:id="rId12" display="https://smile.amazon.com/dp/B07RP7TR12/ref=docs-os-doi_0" xr:uid="{1F08907E-C19C-4E8E-8F4F-71AEC4D299EE}"/>
    <hyperlink ref="C17" r:id="rId13" display="https://www.amazon.com/gp/r.html?C=O5ID2HJ90BI3&amp;K=3T93QM7ILH665&amp;M=urn:rtn:msg:20210603203755d3ce30530adf4be8bd3e94917d50p0na&amp;R=2M56WQF2THH0R&amp;T=C&amp;U=https%3A%2F%2Fwww.amazon.com%2Fdp%2FB08YRX3MTQ%2Fref%3Dpe_385040_118058080_TE_M1DP&amp;H=ZYE5AROYWGM8FMVJEA4ARSGZA0CA&amp;ref_=pe_385040_118058080_TE_M1DP" xr:uid="{F672B202-3D0C-41BC-B74F-4410BF85EB4B}"/>
    <hyperlink ref="C29" r:id="rId14" display="https://www.amazon.com/gp/r.html?C=3UE7YV4YZ5PH3&amp;K=3T93QM7ILH665&amp;M=urn:rtn:msg:202104050820569877541554664fdd9df9ec34b580p0na&amp;R=28B3FJB0ELVLC&amp;T=C&amp;U=https%3A%2F%2Fwww.amazon.com%2Fdp%2FB014BMONTG%2Fref%3Dpe_385040_117923520_TE_M1DP&amp;H=KS2THBA2N2HT1LRXOE0APGSIG50A&amp;ref_=pe_385040_117923520_TE_M1DP" xr:uid="{7D4FEA41-A4AC-47A6-9550-A5B79476B0DE}"/>
    <hyperlink ref="C39" r:id="rId15" display="https://www.amazon.com/gp/r.html?C=O5ID2HJ90BI3&amp;K=3T93QM7ILH665&amp;M=urn:rtn:msg:20210331220144c36a4af8851b4d42911b241309e0p0na&amp;R=YADSXGNNOPRP&amp;T=C&amp;U=https%3A%2F%2Fwww.amazon.com%2Fdp%2FB01HHJF542%2Fref%3Dpe_385040_118058080_TE_M1DP&amp;H=9WLABAYY7GO8QRFFKMNA0OWNVZ8A&amp;ref_=pe_385040_118058080_TE_M1DP" xr:uid="{AD49B366-3201-4980-AEF3-5DBE99E3A0FC}"/>
    <hyperlink ref="C21" r:id="rId16" display="https://www.amazon.com/gp/r.html?C=O5ID2HJ90BI3&amp;K=3T93QM7ILH665&amp;M=urn:rtn:msg:20210331220144c36a4af8851b4d42911b241309e0p0na&amp;R=3F0G77OW6M2AE&amp;T=C&amp;U=https%3A%2F%2Fwww.amazon.com%2Fdp%2FB083HL8RLK%2Fref%3Dpe_385040_118058080_TE_M1DP&amp;H=WOAL9JQAE3YONUPKPMV0RJIIOLMA&amp;ref_=pe_385040_118058080_TE_M1DP" xr:uid="{18E65245-9F17-45EC-B4B3-C35E656E7335}"/>
    <hyperlink ref="C15" r:id="rId17" display="https://www.amazon.com/gp/r.html?C=O5ID2HJ90BI3&amp;K=3T93QM7ILH665&amp;M=urn:rtn:msg:20210331220144c36a4af8851b4d42911b241309e0p0na&amp;R=18DX92M28ID65&amp;T=C&amp;U=https%3A%2F%2Fwww.amazon.com%2Fdp%2FB072N6MQ5V%2Fref%3Dpe_385040_118058080_TE_M1DP&amp;H=QWCY7EAOFJY5EVKAIGYMC9PYIOKA&amp;ref_=pe_385040_118058080_TE_M1DP" xr:uid="{117B19D3-AC31-441A-9E9F-1A01C913D248}"/>
    <hyperlink ref="C48" r:id="rId18" display="https://www.amazon.com/gp/r.html?C=O5ID2HJ90BI3&amp;K=3T93QM7ILH665&amp;M=urn:rtn:msg:20201123181514f183a436ab874ea49231a8597950p0na&amp;R=3EP4EA2LF2UH&amp;T=C&amp;U=https%3A%2F%2Fwww.amazon.com%2Fdp%2FB08NXTHM26%2Fref%3Dpe_385040_118058080_TE_M1DP&amp;H=JGLT8ZREQQVUEEJG8ID3TSXFQUQA&amp;ref_=pe_385040_118058080_TE_M1DP" xr:uid="{0EF3A648-0CC2-499E-BDA1-98ED4DCBF3A1}"/>
    <hyperlink ref="C34" r:id="rId19" display="https://www.amazon.com/gp/r.html?C=O5ID2HJ90BI3&amp;K=3T93QM7ILH665&amp;M=urn:rtn:msg:20201103173624cac9672ba02b45e98956edfdb1e0p0na&amp;R=BI1RY0WXU6ZC&amp;T=C&amp;U=https%3A%2F%2Fwww.amazon.com%2Fdp%2FB00AHC9PZW%2Fref%3Dpe_385040_118058080_TE_M1DP&amp;H=SNGFAJYDSMT3GNZVOGKPF7HLFX0A&amp;ref_=pe_385040_118058080_TE_M1DP" xr:uid="{EA779D41-D596-43AC-9E1F-55637AD8DC1F}"/>
    <hyperlink ref="C35" r:id="rId20" display="https://www.amazon.com/gp/r.html?C=O5ID2HJ90BI3&amp;K=3T93QM7ILH665&amp;M=urn:rtn:msg:202010231810354bad76c3b8e946c68aa5bc417180p0na&amp;R=2M9A2VDKVEZF1&amp;T=C&amp;U=https%3A%2F%2Fwww.amazon.com%2Fdp%2FB00JSRQSJS%2Fref%3Dpe_385040_118058080_TE_M1DP&amp;H=NXLKGCJBVYBDQAT9YDK0MAQUYIWA&amp;ref_=pe_385040_118058080_TE_M1DP" xr:uid="{CD1A7AA4-6A86-4B79-B5BE-31E95AEA1F3C}"/>
    <hyperlink ref="C31" r:id="rId21" display="https://www.amazon.com/gp/r.html?C=O5ID2HJ90BI3&amp;K=3T93QM7ILH665&amp;M=urn:rtn:msg:202007091850132baec4c2f4984a549874df8686f0p0na&amp;R=1L0DCL1E908VM&amp;T=C&amp;U=https%3A%2F%2Fwww.amazon.com%2Fdp%2FB083YZTW4B%2Fref%3Dpe_385040_118058080_TE_M1DP&amp;H=Y3C6KPN7WAH4PD5DCDSEVSGIPIAA&amp;ref_=pe_385040_118058080_TE_M1DP" xr:uid="{E6E443BE-5AE0-4D78-A041-1919F19F554E}"/>
    <hyperlink ref="C3" r:id="rId22" display="https://www.amazon.com/gp/r.html?C=O5ID2HJ90BI3&amp;K=3T93QM7ILH665&amp;M=urn:rtn:msg:20200624193532b5cebb64b22944389b0f16289b30p0na&amp;R=16T3YFV9U6ROM&amp;T=C&amp;U=https%3A%2F%2Fwww.amazon.com%2Fdp%2FB01IA6FM76%2Fref%3Dpe_385040_118058080_TE_M1DP&amp;H=X4FPRAT4Q2XCUIQPAA69P2Z6TKYA&amp;ref_=pe_385040_118058080_TE_M1DP" xr:uid="{7093E603-92EB-4D11-8D5C-4CC5E6F7DF6D}"/>
    <hyperlink ref="C2" r:id="rId23" display="https://www.amazon.com/gp/r.html?C=O5ID2HJ90BI3&amp;K=3T93QM7ILH665&amp;M=urn:rtn:msg:20200519042315253b739dd6ca42f7b4c81cb38d30p0na&amp;R=38THVK09FEGG2&amp;T=C&amp;U=https%3A%2F%2Fwww.amazon.com%2Fdp%2FB079WM7KLS%2Fref%3Dpe_385040_118058080_TE_M1DP&amp;H=2SU11LNXRNB4XBF6MZN7DGAIS7EA&amp;ref_=pe_385040_118058080_TE_M1DP" xr:uid="{2CA31DEF-40FF-4D41-9789-7D44779125E5}"/>
    <hyperlink ref="C9" r:id="rId24" display="https://www.amazon.com/gp/r.html?C=O5ID2HJ90BI3&amp;K=3T93QM7ILH665&amp;M=urn:rtn:msg:2020050415554794b4d3362bb446acba4af2960900p0na&amp;R=311ZGSNJY3K8R&amp;T=C&amp;U=https%3A%2F%2Fwww.amazon.com%2Fdp%2FB007P7HRS4%2Fref%3Dpe_385040_118058080_TE_M1DP&amp;H=HSOQXITY9TRQNLVEDIAOWACGRAAA&amp;ref_=pe_385040_118058080_TE_M1DP" xr:uid="{B4082325-5A40-4FF9-8620-34A140E958EC}"/>
    <hyperlink ref="C41" r:id="rId25" display="https://www.amazon.de/gp/r.html?C=34DQ2ADJHS3K0&amp;K=2HCVWSB99FZVD&amp;M=urn:rtn:msg:202301141333017780cd81d0e346c88c3ac56738e0p0eu&amp;R=38BZ3LMXICL5R&amp;T=C&amp;U=https%3A%2F%2Fwww.amazon.de%2Fdp%2FB097XNT4RT%2Fref%3Dpe_39220511_640034271_TE_M1DP&amp;H=X0CMYJHLUNZYB1U9ZILWAN5L3PCA&amp;ref_=pe_39220511_640034271_TE_M1DP" xr:uid="{4B76677F-7E98-46D1-AAF8-0649F3685038}"/>
    <hyperlink ref="B56" r:id="rId26" display="https://www.amazon.de/dp/B0043M4ZH0/" xr:uid="{32CC39AD-FF3C-49FC-ACCB-4E5D1C620116}"/>
  </hyperlinks>
  <pageMargins left="0.7" right="0.7" top="0.75" bottom="0.75" header="0.3" footer="0.3"/>
  <pageSetup paperSize="9" orientation="portrait" r:id="rId27"/>
  <tableParts count="1">
    <tablePart r:id="rId28"/>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2"/>
  <sheetViews>
    <sheetView workbookViewId="0">
      <selection activeCell="B5" sqref="B5"/>
    </sheetView>
  </sheetViews>
  <sheetFormatPr defaultRowHeight="15" x14ac:dyDescent="0.25"/>
  <cols>
    <col min="1" max="1" width="23.5703125" bestFit="1" customWidth="1"/>
    <col min="2" max="2" width="10.42578125" bestFit="1" customWidth="1"/>
  </cols>
  <sheetData>
    <row r="1" spans="1:2" x14ac:dyDescent="0.25">
      <c r="A1" t="s">
        <v>91</v>
      </c>
      <c r="B1" s="1" t="s">
        <v>92</v>
      </c>
    </row>
    <row r="2" spans="1:2" x14ac:dyDescent="0.25">
      <c r="A2" t="s">
        <v>93</v>
      </c>
      <c r="B2" s="2">
        <v>44942</v>
      </c>
    </row>
  </sheetData>
  <hyperlinks>
    <hyperlink ref="B1" r:id="rId1" xr:uid="{220EAA6D-E9AB-4204-9CBA-BD12A4CE0BEE}"/>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AF8500-664B-4120-AA87-78F638FDFB30}">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goodreads_library_export</vt:lpstr>
      <vt:lpstr>Purchases</vt:lpstr>
      <vt:lpstr>Tabelle1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Dalon, Thierry (e.telligent GmbH)</dc:creator>
  <cp:lastModifiedBy>Dalon, Thierry (e.telligent GmbH)</cp:lastModifiedBy>
  <dcterms:created xsi:type="dcterms:W3CDTF">2015-06-05T18:19:34Z</dcterms:created>
  <dcterms:modified xsi:type="dcterms:W3CDTF">2023-03-17T07:28:34Z</dcterms:modified>
</cp:coreProperties>
</file>